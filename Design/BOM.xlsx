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_vadeboncoeur\Downloads\"/>
    </mc:Choice>
  </mc:AlternateContent>
  <xr:revisionPtr revIDLastSave="0" documentId="13_ncr:1_{6E7B8A94-EF5B-451A-A157-53353A6D8B1A}" xr6:coauthVersionLast="47" xr6:coauthVersionMax="47" xr10:uidLastSave="{00000000-0000-0000-0000-000000000000}"/>
  <bookViews>
    <workbookView xWindow="-28920" yWindow="-120" windowWidth="29040" windowHeight="15720" activeTab="1" xr2:uid="{80FB6A6E-4815-48DC-A8C5-309DA8648198}"/>
  </bookViews>
  <sheets>
    <sheet name="Body Kinematics Check" sheetId="1" r:id="rId1"/>
    <sheet name="BOM" sheetId="2" r:id="rId2"/>
  </sheets>
  <definedNames>
    <definedName name="_xlnm._FilterDatabase" localSheetId="0" hidden="1">'Body Kinematics Check'!$A$1:$A$7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68" i="2" l="1"/>
  <c r="J51" i="2"/>
  <c r="J29" i="2"/>
  <c r="J27" i="2"/>
  <c r="J23" i="2"/>
  <c r="J18" i="2"/>
  <c r="J14" i="2"/>
  <c r="J6" i="2"/>
  <c r="J3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4" i="2"/>
  <c r="H5" i="2"/>
  <c r="H6" i="2"/>
  <c r="H3" i="2"/>
  <c r="L14" i="2"/>
  <c r="L27" i="2"/>
  <c r="F68" i="2"/>
  <c r="I51" i="2"/>
  <c r="I29" i="2"/>
  <c r="I27" i="2"/>
  <c r="K27" i="2" s="1"/>
  <c r="I23" i="2"/>
  <c r="I18" i="2"/>
  <c r="I14" i="2"/>
  <c r="K14" i="2" s="1"/>
  <c r="I6" i="2"/>
  <c r="I3" i="2"/>
  <c r="K3" i="2" s="1"/>
  <c r="L3" i="2"/>
</calcChain>
</file>

<file path=xl/sharedStrings.xml><?xml version="1.0" encoding="utf-8"?>
<sst xmlns="http://schemas.openxmlformats.org/spreadsheetml/2006/main" count="101" uniqueCount="81">
  <si>
    <t>Leg</t>
  </si>
  <si>
    <t>St_x</t>
  </si>
  <si>
    <t>St_y</t>
  </si>
  <si>
    <t>St_z</t>
  </si>
  <si>
    <t>Sw_x</t>
  </si>
  <si>
    <t>Sw_y</t>
  </si>
  <si>
    <t>Sw_z</t>
  </si>
  <si>
    <t>Lf_x</t>
  </si>
  <si>
    <t>Lf_y</t>
  </si>
  <si>
    <t>Lf_z</t>
  </si>
  <si>
    <t>HPD BOM</t>
  </si>
  <si>
    <t>Assembly</t>
  </si>
  <si>
    <t>Subassembly</t>
  </si>
  <si>
    <t>Component</t>
  </si>
  <si>
    <t>Chassis</t>
  </si>
  <si>
    <t>Chassis Bottom</t>
  </si>
  <si>
    <t>Chassis PCB Box</t>
  </si>
  <si>
    <t>B608</t>
  </si>
  <si>
    <t>M3 Threaded Insert</t>
  </si>
  <si>
    <t>Count</t>
  </si>
  <si>
    <t>Chassis Top</t>
  </si>
  <si>
    <t>Unit Price</t>
  </si>
  <si>
    <t>Subassembly Price</t>
  </si>
  <si>
    <t>Assembly Price</t>
  </si>
  <si>
    <t>Chassis J0 Cover Long</t>
  </si>
  <si>
    <t>Chassis J0 Top Left</t>
  </si>
  <si>
    <t>Chassis J0 Top Right</t>
  </si>
  <si>
    <t>Chassis J0 Bottom Left</t>
  </si>
  <si>
    <t>Chassis J0 Bottom Right</t>
  </si>
  <si>
    <t>M3 x 6mm Bolts</t>
  </si>
  <si>
    <t>Link 1</t>
  </si>
  <si>
    <t>Link 1 Housing</t>
  </si>
  <si>
    <t>HPS 2018 Servo Motor</t>
  </si>
  <si>
    <t>Link 2</t>
  </si>
  <si>
    <t>Link 2 Follower Binary</t>
  </si>
  <si>
    <t>Link 2 Servo Binary</t>
  </si>
  <si>
    <t>Link 2 Brace</t>
  </si>
  <si>
    <t>M2.5 Threaded Insert</t>
  </si>
  <si>
    <t>Link 3</t>
  </si>
  <si>
    <t>Link 3 Housing</t>
  </si>
  <si>
    <t>HPS 2027 Servo Motor</t>
  </si>
  <si>
    <t>25T Aluminum Horn</t>
  </si>
  <si>
    <t>Control Electronics</t>
  </si>
  <si>
    <t>Arduino Mega 2560</t>
  </si>
  <si>
    <t>Controller Board</t>
  </si>
  <si>
    <t>M2.5 x 6mm Bolts</t>
  </si>
  <si>
    <t>XT60 Male - PCB Connector</t>
  </si>
  <si>
    <t>IRF4905 P-Channel MOSFET</t>
  </si>
  <si>
    <t>SPDT Thru Switch</t>
  </si>
  <si>
    <t>1000uF Electrolytic Capacitor</t>
  </si>
  <si>
    <t>680uF Electrolytic Capacitor</t>
  </si>
  <si>
    <t>47uF Electrolytic Capacitor</t>
  </si>
  <si>
    <t>1uF Ceramic Capacitor</t>
  </si>
  <si>
    <t>0.1uF Ceramic Capacitor</t>
  </si>
  <si>
    <t>Remote Control PCB</t>
  </si>
  <si>
    <t>Red LED</t>
  </si>
  <si>
    <t>Green LED</t>
  </si>
  <si>
    <t>Blue LED</t>
  </si>
  <si>
    <t>10kOhm Resistor</t>
  </si>
  <si>
    <t>5.1kOhm Resistor</t>
  </si>
  <si>
    <t>220Ohm Resistor</t>
  </si>
  <si>
    <t>100Ohm Resistor</t>
  </si>
  <si>
    <t>8P Thru Header, P2.54, V, M, XL</t>
  </si>
  <si>
    <t>10P Thru Header, P2.54, V, M, XL</t>
  </si>
  <si>
    <t>38P Thru Header, P2.54, V, M, XL, R2 x 18C</t>
  </si>
  <si>
    <t>8P Thru Header, P2.54, V, F, R2 x 4C</t>
  </si>
  <si>
    <t>3P Thru Header, P2.54, V, M</t>
  </si>
  <si>
    <t>2S LiPo 6600mAh Battery</t>
  </si>
  <si>
    <t>Wuerth Screw Mount Input Terminal</t>
  </si>
  <si>
    <t>DipSwitch Array 4x1</t>
  </si>
  <si>
    <t>Analog PS2 Joysticks</t>
  </si>
  <si>
    <t>NRF24L01</t>
  </si>
  <si>
    <t>16P Thru Header, P2.54, V, F</t>
  </si>
  <si>
    <t>NFR24L01</t>
  </si>
  <si>
    <t>18650 Battery Cell</t>
  </si>
  <si>
    <t>Control PCB</t>
  </si>
  <si>
    <t>Subassembly Components</t>
  </si>
  <si>
    <t>Assembly Components</t>
  </si>
  <si>
    <t>Total Components</t>
  </si>
  <si>
    <t>Sub. Component Price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</si>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</sst>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1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2.5793974957211956E-2"/>
          <c:y val="2.3523120179402099E-2"/>
          <c:w val="0.94448318210702975"/>
          <c:h val="0.95295375964119577"/>
        </c:manualLayout>
      </c:layout>
      <c:scatterChart>
        <c:scatterStyle val="lineMarker"/>
        <c:varyColors val="0"/>
        <c:ser>
          <c:idx val="0"/>
          <c:order val="0"/>
          <c:tx>
            <c:strRef>
              <c:f>'Body Kinematics Check'!$C$1</c:f>
              <c:strCache>
                <c:ptCount val="1"/>
                <c:pt idx="0">
                  <c:v>St_y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'Body Kinematics Check'!$B$2:$B$7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'Body Kinematics Check'!$C$2:$C$7</c:f>
              <c:numCache>
                <c:formatCode>General</c:formatCode>
                <c:ptCount val="6"/>
                <c:pt idx="0">
                  <c:v>143.13</c:v>
                </c:pt>
                <c:pt idx="1">
                  <c:v>278.76</c:v>
                </c:pt>
                <c:pt idx="2">
                  <c:v>143.13</c:v>
                </c:pt>
                <c:pt idx="3">
                  <c:v>-128.13</c:v>
                </c:pt>
                <c:pt idx="4">
                  <c:v>-263.76</c:v>
                </c:pt>
                <c:pt idx="5">
                  <c:v>-128.13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A0F-4026-85A8-D1FF208B8244}"/>
            </c:ext>
          </c:extLst>
        </c:ser>
        <c:ser>
          <c:idx val="1"/>
          <c:order val="1"/>
          <c:tx>
            <c:v>Sw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'Body Kinematics Check'!$E$2:$E$7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'Body Kinematics Check'!$F$2:$F$7</c:f>
              <c:numCache>
                <c:formatCode>General</c:formatCode>
                <c:ptCount val="6"/>
                <c:pt idx="0">
                  <c:v>128.13</c:v>
                </c:pt>
                <c:pt idx="1">
                  <c:v>263.76</c:v>
                </c:pt>
                <c:pt idx="2">
                  <c:v>128.13</c:v>
                </c:pt>
                <c:pt idx="3">
                  <c:v>-143.13</c:v>
                </c:pt>
                <c:pt idx="4">
                  <c:v>-278.76</c:v>
                </c:pt>
                <c:pt idx="5">
                  <c:v>-143.13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0F-4026-85A8-D1FF208B8244}"/>
            </c:ext>
          </c:extLst>
        </c:ser>
        <c:ser>
          <c:idx val="2"/>
          <c:order val="2"/>
          <c:tx>
            <c:v>Lf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'Body Kinematics Check'!$H$2:$H$7</c:f>
              <c:numCache>
                <c:formatCode>General</c:formatCode>
                <c:ptCount val="6"/>
                <c:pt idx="0">
                  <c:v>234.91</c:v>
                </c:pt>
                <c:pt idx="1">
                  <c:v>0</c:v>
                </c:pt>
                <c:pt idx="2">
                  <c:v>-234.91</c:v>
                </c:pt>
                <c:pt idx="3">
                  <c:v>-234.91</c:v>
                </c:pt>
                <c:pt idx="4">
                  <c:v>0</c:v>
                </c:pt>
                <c:pt idx="5">
                  <c:v>234.91</c:v>
                </c:pt>
              </c:numCache>
            </c:numRef>
          </c:xVal>
          <c:yVal>
            <c:numRef>
              <c:f>'Body Kinematics Check'!$I$2:$I$7</c:f>
              <c:numCache>
                <c:formatCode>General</c:formatCode>
                <c:ptCount val="6"/>
                <c:pt idx="0">
                  <c:v>135.63</c:v>
                </c:pt>
                <c:pt idx="1">
                  <c:v>271.26</c:v>
                </c:pt>
                <c:pt idx="2">
                  <c:v>135.63</c:v>
                </c:pt>
                <c:pt idx="3">
                  <c:v>-135.63</c:v>
                </c:pt>
                <c:pt idx="4">
                  <c:v>-271.26</c:v>
                </c:pt>
                <c:pt idx="5">
                  <c:v>-135.63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A0F-4026-85A8-D1FF208B82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6859711"/>
        <c:axId val="1115486639"/>
      </c:scatterChart>
      <c:valAx>
        <c:axId val="10168597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5486639"/>
        <c:crosses val="autoZero"/>
        <c:crossBetween val="midCat"/>
      </c:valAx>
      <c:valAx>
        <c:axId val="1115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168597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428624</xdr:colOff>
      <xdr:row>10</xdr:row>
      <xdr:rowOff>123825</xdr:rowOff>
    </xdr:from>
    <xdr:to>
      <xdr:col>13</xdr:col>
      <xdr:colOff>47625</xdr:colOff>
      <xdr:row>31</xdr:row>
      <xdr:rowOff>9525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1EAC38B-14B8-C640-F9D1-C30988CD1A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FE928-1AFB-4FD0-9234-9A0A25EB1FB5}">
  <dimension ref="A1:J7"/>
  <sheetViews>
    <sheetView workbookViewId="0">
      <selection activeCell="L8" sqref="L8"/>
    </sheetView>
  </sheetViews>
  <sheetFormatPr defaultRowHeight="15" x14ac:dyDescent="0.2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0</v>
      </c>
      <c r="B2">
        <v>234.91</v>
      </c>
      <c r="C2">
        <v>143.13</v>
      </c>
      <c r="D2">
        <v>-63.63</v>
      </c>
      <c r="E2">
        <v>234.91</v>
      </c>
      <c r="F2">
        <v>128.13</v>
      </c>
      <c r="G2">
        <v>-63.63</v>
      </c>
      <c r="H2">
        <v>234.91</v>
      </c>
      <c r="I2">
        <v>135.63</v>
      </c>
      <c r="J2">
        <v>-51.63</v>
      </c>
    </row>
    <row r="3" spans="1:10" x14ac:dyDescent="0.25">
      <c r="A3">
        <v>1</v>
      </c>
      <c r="B3">
        <v>0</v>
      </c>
      <c r="C3">
        <v>278.76</v>
      </c>
      <c r="D3">
        <v>-63.63</v>
      </c>
      <c r="E3">
        <v>0</v>
      </c>
      <c r="F3">
        <v>263.76</v>
      </c>
      <c r="G3">
        <v>-63.63</v>
      </c>
      <c r="H3">
        <v>0</v>
      </c>
      <c r="I3">
        <v>271.26</v>
      </c>
      <c r="J3">
        <v>-51.63</v>
      </c>
    </row>
    <row r="4" spans="1:10" x14ac:dyDescent="0.25">
      <c r="A4">
        <v>2</v>
      </c>
      <c r="B4">
        <v>-234.91</v>
      </c>
      <c r="C4">
        <v>143.13</v>
      </c>
      <c r="D4">
        <v>-63.63</v>
      </c>
      <c r="E4">
        <v>-234.91</v>
      </c>
      <c r="F4">
        <v>128.13</v>
      </c>
      <c r="G4">
        <v>-63.63</v>
      </c>
      <c r="H4">
        <v>-234.91</v>
      </c>
      <c r="I4">
        <v>135.63</v>
      </c>
      <c r="J4">
        <v>-51.63</v>
      </c>
    </row>
    <row r="5" spans="1:10" x14ac:dyDescent="0.25">
      <c r="A5">
        <v>3</v>
      </c>
      <c r="B5">
        <v>-234.91</v>
      </c>
      <c r="C5">
        <v>-128.13</v>
      </c>
      <c r="D5">
        <v>-63.63</v>
      </c>
      <c r="E5">
        <v>-234.91</v>
      </c>
      <c r="F5">
        <v>-143.13</v>
      </c>
      <c r="G5">
        <v>-63.63</v>
      </c>
      <c r="H5">
        <v>-234.91</v>
      </c>
      <c r="I5">
        <v>-135.63</v>
      </c>
      <c r="J5">
        <v>-51.63</v>
      </c>
    </row>
    <row r="6" spans="1:10" x14ac:dyDescent="0.25">
      <c r="A6">
        <v>4</v>
      </c>
      <c r="B6">
        <v>0</v>
      </c>
      <c r="C6">
        <v>-263.76</v>
      </c>
      <c r="D6">
        <v>-63.63</v>
      </c>
      <c r="E6">
        <v>0</v>
      </c>
      <c r="F6">
        <v>-278.76</v>
      </c>
      <c r="G6">
        <v>-63.63</v>
      </c>
      <c r="H6">
        <v>0</v>
      </c>
      <c r="I6">
        <v>-271.26</v>
      </c>
      <c r="J6">
        <v>-51.63</v>
      </c>
    </row>
    <row r="7" spans="1:10" x14ac:dyDescent="0.25">
      <c r="A7">
        <v>5</v>
      </c>
      <c r="B7">
        <v>234.91</v>
      </c>
      <c r="C7">
        <v>-128.13</v>
      </c>
      <c r="D7">
        <v>-63.63</v>
      </c>
      <c r="E7">
        <v>234.91</v>
      </c>
      <c r="F7">
        <v>-143.13</v>
      </c>
      <c r="G7">
        <v>-63.63</v>
      </c>
      <c r="H7">
        <v>234.91</v>
      </c>
      <c r="I7">
        <v>-135.63</v>
      </c>
      <c r="J7">
        <v>-51.63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499A0-24B5-46FF-89A8-198E96D10A66}">
  <dimension ref="A1:L68"/>
  <sheetViews>
    <sheetView tabSelected="1" workbookViewId="0">
      <selection activeCell="M8" sqref="M8"/>
    </sheetView>
  </sheetViews>
  <sheetFormatPr defaultRowHeight="15" x14ac:dyDescent="0.25"/>
  <cols>
    <col min="1" max="1" width="17.7109375" customWidth="1"/>
    <col min="3" max="4" width="23.85546875" customWidth="1"/>
    <col min="5" max="5" width="21.7109375" customWidth="1"/>
    <col min="7" max="8" width="12.42578125" customWidth="1"/>
    <col min="9" max="9" width="21" customWidth="1"/>
    <col min="10" max="11" width="19.85546875" customWidth="1"/>
    <col min="12" max="12" width="15.85546875" customWidth="1"/>
  </cols>
  <sheetData>
    <row r="1" spans="1:12" ht="15.75" thickBot="1" x14ac:dyDescent="0.3">
      <c r="A1" s="2" t="s">
        <v>10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spans="1:12" x14ac:dyDescent="0.25">
      <c r="A2" s="7" t="s">
        <v>11</v>
      </c>
      <c r="B2" s="7" t="s">
        <v>19</v>
      </c>
      <c r="C2" s="7" t="s">
        <v>12</v>
      </c>
      <c r="D2" s="7" t="s">
        <v>19</v>
      </c>
      <c r="E2" s="7" t="s">
        <v>13</v>
      </c>
      <c r="F2" s="7" t="s">
        <v>19</v>
      </c>
      <c r="G2" s="7" t="s">
        <v>21</v>
      </c>
      <c r="H2" s="7" t="s">
        <v>79</v>
      </c>
      <c r="I2" s="7" t="s">
        <v>76</v>
      </c>
      <c r="J2" s="7" t="s">
        <v>22</v>
      </c>
      <c r="K2" s="7" t="s">
        <v>77</v>
      </c>
      <c r="L2" s="7" t="s">
        <v>23</v>
      </c>
    </row>
    <row r="3" spans="1:12" x14ac:dyDescent="0.25">
      <c r="A3" s="5" t="s">
        <v>14</v>
      </c>
      <c r="B3" s="5">
        <v>1</v>
      </c>
      <c r="C3" s="5" t="s">
        <v>15</v>
      </c>
      <c r="D3" s="5">
        <v>1</v>
      </c>
      <c r="E3" s="6" t="s">
        <v>15</v>
      </c>
      <c r="F3" s="6">
        <v>1</v>
      </c>
      <c r="G3" s="6"/>
      <c r="H3" s="6">
        <f>F3*G3</f>
        <v>0</v>
      </c>
      <c r="I3" s="5">
        <f>SUM(F3:F5)</f>
        <v>15</v>
      </c>
      <c r="J3" s="5">
        <f>SUM(H3:H5)</f>
        <v>0</v>
      </c>
      <c r="K3" s="5">
        <f>SUM(I3:I13)</f>
        <v>34</v>
      </c>
      <c r="L3" s="5">
        <f>J6+J3</f>
        <v>0</v>
      </c>
    </row>
    <row r="4" spans="1:12" x14ac:dyDescent="0.25">
      <c r="A4" s="5"/>
      <c r="B4" s="5"/>
      <c r="C4" s="5"/>
      <c r="D4" s="5"/>
      <c r="E4" s="6" t="s">
        <v>17</v>
      </c>
      <c r="F4" s="6">
        <v>6</v>
      </c>
      <c r="G4" s="6"/>
      <c r="H4" s="6">
        <f t="shared" ref="H4:H67" si="0">F4*G4</f>
        <v>0</v>
      </c>
      <c r="I4" s="5"/>
      <c r="J4" s="5"/>
      <c r="K4" s="5"/>
      <c r="L4" s="5"/>
    </row>
    <row r="5" spans="1:12" x14ac:dyDescent="0.25">
      <c r="A5" s="5"/>
      <c r="B5" s="5"/>
      <c r="C5" s="5"/>
      <c r="D5" s="5"/>
      <c r="E5" s="6" t="s">
        <v>18</v>
      </c>
      <c r="F5" s="6">
        <v>8</v>
      </c>
      <c r="G5" s="6"/>
      <c r="H5" s="6">
        <f t="shared" si="0"/>
        <v>0</v>
      </c>
      <c r="I5" s="5"/>
      <c r="J5" s="5"/>
      <c r="K5" s="5"/>
      <c r="L5" s="5"/>
    </row>
    <row r="6" spans="1:12" x14ac:dyDescent="0.25">
      <c r="A6" s="5"/>
      <c r="B6" s="5"/>
      <c r="C6" s="5" t="s">
        <v>20</v>
      </c>
      <c r="D6" s="5">
        <v>1</v>
      </c>
      <c r="E6" s="6" t="s">
        <v>16</v>
      </c>
      <c r="F6" s="6">
        <v>1</v>
      </c>
      <c r="G6" s="6"/>
      <c r="H6" s="6">
        <f t="shared" si="0"/>
        <v>0</v>
      </c>
      <c r="I6" s="5">
        <f>SUM(F6:F13)</f>
        <v>19</v>
      </c>
      <c r="J6" s="5">
        <f>SUM(H6:H13)</f>
        <v>0</v>
      </c>
      <c r="K6" s="5"/>
      <c r="L6" s="5"/>
    </row>
    <row r="7" spans="1:12" x14ac:dyDescent="0.25">
      <c r="A7" s="5"/>
      <c r="B7" s="5"/>
      <c r="C7" s="5"/>
      <c r="D7" s="5"/>
      <c r="E7" s="6" t="s">
        <v>24</v>
      </c>
      <c r="F7" s="6">
        <v>2</v>
      </c>
      <c r="G7" s="6"/>
      <c r="H7" s="6">
        <f t="shared" si="0"/>
        <v>0</v>
      </c>
      <c r="I7" s="5"/>
      <c r="J7" s="5"/>
      <c r="K7" s="5"/>
      <c r="L7" s="5"/>
    </row>
    <row r="8" spans="1:12" x14ac:dyDescent="0.25">
      <c r="A8" s="5"/>
      <c r="B8" s="5"/>
      <c r="C8" s="5"/>
      <c r="D8" s="5"/>
      <c r="E8" s="6" t="s">
        <v>25</v>
      </c>
      <c r="F8" s="6">
        <v>1</v>
      </c>
      <c r="G8" s="6"/>
      <c r="H8" s="6">
        <f t="shared" si="0"/>
        <v>0</v>
      </c>
      <c r="I8" s="5"/>
      <c r="J8" s="5"/>
      <c r="K8" s="5"/>
      <c r="L8" s="5"/>
    </row>
    <row r="9" spans="1:12" x14ac:dyDescent="0.25">
      <c r="A9" s="5"/>
      <c r="B9" s="5"/>
      <c r="C9" s="5"/>
      <c r="D9" s="5"/>
      <c r="E9" s="6" t="s">
        <v>26</v>
      </c>
      <c r="F9" s="6">
        <v>1</v>
      </c>
      <c r="G9" s="6"/>
      <c r="H9" s="6">
        <f t="shared" si="0"/>
        <v>0</v>
      </c>
      <c r="I9" s="5"/>
      <c r="J9" s="5"/>
      <c r="K9" s="5"/>
      <c r="L9" s="5"/>
    </row>
    <row r="10" spans="1:12" x14ac:dyDescent="0.25">
      <c r="A10" s="5"/>
      <c r="B10" s="5"/>
      <c r="C10" s="5"/>
      <c r="D10" s="5"/>
      <c r="E10" s="6" t="s">
        <v>27</v>
      </c>
      <c r="F10" s="6">
        <v>1</v>
      </c>
      <c r="G10" s="6"/>
      <c r="H10" s="6">
        <f t="shared" si="0"/>
        <v>0</v>
      </c>
      <c r="I10" s="5"/>
      <c r="J10" s="5"/>
      <c r="K10" s="5"/>
      <c r="L10" s="5"/>
    </row>
    <row r="11" spans="1:12" x14ac:dyDescent="0.25">
      <c r="A11" s="5"/>
      <c r="B11" s="5"/>
      <c r="C11" s="5"/>
      <c r="D11" s="5"/>
      <c r="E11" s="6" t="s">
        <v>28</v>
      </c>
      <c r="F11" s="6">
        <v>1</v>
      </c>
      <c r="G11" s="6"/>
      <c r="H11" s="6">
        <f t="shared" si="0"/>
        <v>0</v>
      </c>
      <c r="I11" s="5"/>
      <c r="J11" s="5"/>
      <c r="K11" s="5"/>
      <c r="L11" s="5"/>
    </row>
    <row r="12" spans="1:12" x14ac:dyDescent="0.25">
      <c r="A12" s="5"/>
      <c r="B12" s="5"/>
      <c r="C12" s="5"/>
      <c r="D12" s="5"/>
      <c r="E12" s="6" t="s">
        <v>29</v>
      </c>
      <c r="F12" s="6">
        <v>8</v>
      </c>
      <c r="G12" s="6"/>
      <c r="H12" s="6">
        <f t="shared" si="0"/>
        <v>0</v>
      </c>
      <c r="I12" s="5"/>
      <c r="J12" s="5"/>
      <c r="K12" s="5"/>
      <c r="L12" s="5"/>
    </row>
    <row r="13" spans="1:12" x14ac:dyDescent="0.25">
      <c r="A13" s="5"/>
      <c r="B13" s="5"/>
      <c r="C13" s="5"/>
      <c r="D13" s="5"/>
      <c r="E13" s="6" t="s">
        <v>37</v>
      </c>
      <c r="F13" s="6">
        <v>4</v>
      </c>
      <c r="G13" s="6"/>
      <c r="H13" s="6">
        <f t="shared" si="0"/>
        <v>0</v>
      </c>
      <c r="I13" s="5"/>
      <c r="J13" s="5"/>
      <c r="K13" s="5"/>
      <c r="L13" s="5"/>
    </row>
    <row r="14" spans="1:12" x14ac:dyDescent="0.25">
      <c r="A14" s="5" t="s">
        <v>0</v>
      </c>
      <c r="B14" s="5">
        <v>6</v>
      </c>
      <c r="C14" s="5" t="s">
        <v>30</v>
      </c>
      <c r="D14" s="5">
        <v>1</v>
      </c>
      <c r="E14" s="6" t="s">
        <v>31</v>
      </c>
      <c r="F14" s="6">
        <v>1</v>
      </c>
      <c r="G14" s="6"/>
      <c r="H14" s="6">
        <f t="shared" si="0"/>
        <v>0</v>
      </c>
      <c r="I14" s="5">
        <f>SUM(F14:F17)</f>
        <v>13</v>
      </c>
      <c r="J14" s="5">
        <f>SUM(H14:H17)</f>
        <v>0</v>
      </c>
      <c r="K14" s="5">
        <f>SUM(I14:I26)</f>
        <v>29</v>
      </c>
      <c r="L14" s="5">
        <f>SUM(J14:J26)</f>
        <v>0</v>
      </c>
    </row>
    <row r="15" spans="1:12" x14ac:dyDescent="0.25">
      <c r="A15" s="5"/>
      <c r="B15" s="5"/>
      <c r="C15" s="5"/>
      <c r="D15" s="5"/>
      <c r="E15" s="6" t="s">
        <v>18</v>
      </c>
      <c r="F15" s="6">
        <v>8</v>
      </c>
      <c r="G15" s="6"/>
      <c r="H15" s="6">
        <f t="shared" si="0"/>
        <v>0</v>
      </c>
      <c r="I15" s="5"/>
      <c r="J15" s="5"/>
      <c r="K15" s="5"/>
      <c r="L15" s="5"/>
    </row>
    <row r="16" spans="1:12" x14ac:dyDescent="0.25">
      <c r="A16" s="5"/>
      <c r="B16" s="5"/>
      <c r="C16" s="5"/>
      <c r="D16" s="5"/>
      <c r="E16" s="6" t="s">
        <v>32</v>
      </c>
      <c r="F16" s="6">
        <v>2</v>
      </c>
      <c r="G16" s="6"/>
      <c r="H16" s="6">
        <f t="shared" si="0"/>
        <v>0</v>
      </c>
      <c r="I16" s="5"/>
      <c r="J16" s="5"/>
      <c r="K16" s="5"/>
      <c r="L16" s="5"/>
    </row>
    <row r="17" spans="1:12" x14ac:dyDescent="0.25">
      <c r="A17" s="5"/>
      <c r="B17" s="5"/>
      <c r="C17" s="5"/>
      <c r="D17" s="5"/>
      <c r="E17" s="6" t="s">
        <v>41</v>
      </c>
      <c r="F17" s="6">
        <v>2</v>
      </c>
      <c r="G17" s="6"/>
      <c r="H17" s="6">
        <f t="shared" si="0"/>
        <v>0</v>
      </c>
      <c r="I17" s="5"/>
      <c r="J17" s="5"/>
      <c r="K17" s="5"/>
      <c r="L17" s="5"/>
    </row>
    <row r="18" spans="1:12" x14ac:dyDescent="0.25">
      <c r="A18" s="5"/>
      <c r="B18" s="5"/>
      <c r="C18" s="5" t="s">
        <v>33</v>
      </c>
      <c r="D18" s="5">
        <v>1</v>
      </c>
      <c r="E18" s="6" t="s">
        <v>35</v>
      </c>
      <c r="F18" s="6">
        <v>1</v>
      </c>
      <c r="G18" s="6"/>
      <c r="H18" s="6">
        <f t="shared" si="0"/>
        <v>0</v>
      </c>
      <c r="I18" s="5">
        <f>SUM(F18:F22)</f>
        <v>9</v>
      </c>
      <c r="J18" s="5">
        <f>SUM(H18:H22)</f>
        <v>0</v>
      </c>
      <c r="K18" s="5"/>
      <c r="L18" s="5"/>
    </row>
    <row r="19" spans="1:12" x14ac:dyDescent="0.25">
      <c r="A19" s="5"/>
      <c r="B19" s="5"/>
      <c r="C19" s="5"/>
      <c r="D19" s="5"/>
      <c r="E19" s="6" t="s">
        <v>34</v>
      </c>
      <c r="F19" s="6">
        <v>1</v>
      </c>
      <c r="G19" s="6"/>
      <c r="H19" s="6">
        <f t="shared" si="0"/>
        <v>0</v>
      </c>
      <c r="I19" s="5"/>
      <c r="J19" s="5"/>
      <c r="K19" s="5"/>
      <c r="L19" s="5"/>
    </row>
    <row r="20" spans="1:12" x14ac:dyDescent="0.25">
      <c r="A20" s="5"/>
      <c r="B20" s="5"/>
      <c r="C20" s="5"/>
      <c r="D20" s="5"/>
      <c r="E20" s="6" t="s">
        <v>36</v>
      </c>
      <c r="F20" s="6">
        <v>1</v>
      </c>
      <c r="G20" s="6"/>
      <c r="H20" s="6">
        <f t="shared" si="0"/>
        <v>0</v>
      </c>
      <c r="I20" s="5"/>
      <c r="J20" s="5"/>
      <c r="K20" s="5"/>
      <c r="L20" s="5"/>
    </row>
    <row r="21" spans="1:12" x14ac:dyDescent="0.25">
      <c r="A21" s="5"/>
      <c r="B21" s="5"/>
      <c r="C21" s="5"/>
      <c r="D21" s="5"/>
      <c r="E21" s="6" t="s">
        <v>17</v>
      </c>
      <c r="F21" s="6">
        <v>2</v>
      </c>
      <c r="G21" s="6"/>
      <c r="H21" s="6">
        <f t="shared" si="0"/>
        <v>0</v>
      </c>
      <c r="I21" s="5"/>
      <c r="J21" s="5"/>
      <c r="K21" s="5"/>
      <c r="L21" s="5"/>
    </row>
    <row r="22" spans="1:12" x14ac:dyDescent="0.25">
      <c r="A22" s="5"/>
      <c r="B22" s="5"/>
      <c r="C22" s="5"/>
      <c r="D22" s="5"/>
      <c r="E22" s="6" t="s">
        <v>18</v>
      </c>
      <c r="F22" s="6">
        <v>4</v>
      </c>
      <c r="G22" s="6"/>
      <c r="H22" s="6">
        <f t="shared" si="0"/>
        <v>0</v>
      </c>
      <c r="I22" s="5"/>
      <c r="J22" s="5"/>
      <c r="K22" s="5"/>
      <c r="L22" s="5"/>
    </row>
    <row r="23" spans="1:12" x14ac:dyDescent="0.25">
      <c r="A23" s="5"/>
      <c r="B23" s="5"/>
      <c r="C23" s="5" t="s">
        <v>38</v>
      </c>
      <c r="D23" s="5"/>
      <c r="E23" s="6" t="s">
        <v>39</v>
      </c>
      <c r="F23" s="6">
        <v>1</v>
      </c>
      <c r="G23" s="6"/>
      <c r="H23" s="6">
        <f t="shared" si="0"/>
        <v>0</v>
      </c>
      <c r="I23" s="5">
        <f>SUM(F23:F26)</f>
        <v>7</v>
      </c>
      <c r="J23" s="5">
        <f>SUM(H23:H26)</f>
        <v>0</v>
      </c>
      <c r="K23" s="5"/>
      <c r="L23" s="5"/>
    </row>
    <row r="24" spans="1:12" x14ac:dyDescent="0.25">
      <c r="A24" s="5"/>
      <c r="B24" s="5"/>
      <c r="C24" s="5"/>
      <c r="D24" s="5"/>
      <c r="E24" s="6" t="s">
        <v>40</v>
      </c>
      <c r="F24" s="6">
        <v>1</v>
      </c>
      <c r="G24" s="6"/>
      <c r="H24" s="6">
        <f t="shared" si="0"/>
        <v>0</v>
      </c>
      <c r="I24" s="5"/>
      <c r="J24" s="5"/>
      <c r="K24" s="5"/>
      <c r="L24" s="5"/>
    </row>
    <row r="25" spans="1:12" x14ac:dyDescent="0.25">
      <c r="A25" s="5"/>
      <c r="B25" s="5"/>
      <c r="C25" s="5"/>
      <c r="D25" s="5"/>
      <c r="E25" s="6" t="s">
        <v>41</v>
      </c>
      <c r="F25" s="6">
        <v>1</v>
      </c>
      <c r="G25" s="6"/>
      <c r="H25" s="6">
        <f t="shared" si="0"/>
        <v>0</v>
      </c>
      <c r="I25" s="5"/>
      <c r="J25" s="5"/>
      <c r="K25" s="5"/>
      <c r="L25" s="5"/>
    </row>
    <row r="26" spans="1:12" x14ac:dyDescent="0.25">
      <c r="A26" s="5"/>
      <c r="B26" s="5"/>
      <c r="C26" s="5"/>
      <c r="D26" s="5"/>
      <c r="E26" s="6" t="s">
        <v>18</v>
      </c>
      <c r="F26" s="6">
        <v>4</v>
      </c>
      <c r="G26" s="6"/>
      <c r="H26" s="6">
        <f t="shared" si="0"/>
        <v>0</v>
      </c>
      <c r="I26" s="5"/>
      <c r="J26" s="5"/>
      <c r="K26" s="5"/>
      <c r="L26" s="5"/>
    </row>
    <row r="27" spans="1:12" x14ac:dyDescent="0.25">
      <c r="A27" s="5" t="s">
        <v>42</v>
      </c>
      <c r="B27" s="5">
        <v>1</v>
      </c>
      <c r="C27" s="5" t="s">
        <v>44</v>
      </c>
      <c r="D27" s="5">
        <v>1</v>
      </c>
      <c r="E27" s="6" t="s">
        <v>43</v>
      </c>
      <c r="F27" s="6">
        <v>1</v>
      </c>
      <c r="G27" s="6"/>
      <c r="H27" s="6">
        <f t="shared" si="0"/>
        <v>0</v>
      </c>
      <c r="I27" s="5">
        <f>SUM(F27:F28)</f>
        <v>5</v>
      </c>
      <c r="J27" s="5">
        <f>SUM(H27:H28)</f>
        <v>0</v>
      </c>
      <c r="K27" s="5">
        <f>SUM(I27:I67)</f>
        <v>86</v>
      </c>
      <c r="L27" s="5">
        <f>SUM(J27:J67)</f>
        <v>0</v>
      </c>
    </row>
    <row r="28" spans="1:12" x14ac:dyDescent="0.25">
      <c r="A28" s="5"/>
      <c r="B28" s="5"/>
      <c r="C28" s="5"/>
      <c r="D28" s="5"/>
      <c r="E28" s="6" t="s">
        <v>45</v>
      </c>
      <c r="F28" s="6">
        <v>4</v>
      </c>
      <c r="G28" s="6"/>
      <c r="H28" s="6">
        <f t="shared" si="0"/>
        <v>0</v>
      </c>
      <c r="I28" s="5"/>
      <c r="J28" s="5"/>
      <c r="K28" s="5"/>
      <c r="L28" s="5"/>
    </row>
    <row r="29" spans="1:12" x14ac:dyDescent="0.25">
      <c r="A29" s="5"/>
      <c r="B29" s="5"/>
      <c r="C29" s="5" t="s">
        <v>75</v>
      </c>
      <c r="D29" s="5">
        <v>1</v>
      </c>
      <c r="E29" s="6" t="s">
        <v>46</v>
      </c>
      <c r="F29" s="6">
        <v>1</v>
      </c>
      <c r="G29" s="6"/>
      <c r="H29" s="6">
        <f t="shared" si="0"/>
        <v>0</v>
      </c>
      <c r="I29" s="5">
        <f>SUM(F29:F50)</f>
        <v>56</v>
      </c>
      <c r="J29" s="5">
        <f>SUM(H29:H50)</f>
        <v>0</v>
      </c>
      <c r="K29" s="5"/>
      <c r="L29" s="5"/>
    </row>
    <row r="30" spans="1:12" x14ac:dyDescent="0.25">
      <c r="A30" s="5"/>
      <c r="B30" s="5"/>
      <c r="C30" s="5"/>
      <c r="D30" s="5"/>
      <c r="E30" s="6" t="s">
        <v>47</v>
      </c>
      <c r="F30" s="6">
        <v>1</v>
      </c>
      <c r="G30" s="6"/>
      <c r="H30" s="6">
        <f t="shared" si="0"/>
        <v>0</v>
      </c>
      <c r="I30" s="5"/>
      <c r="J30" s="5"/>
      <c r="K30" s="5"/>
      <c r="L30" s="5"/>
    </row>
    <row r="31" spans="1:12" x14ac:dyDescent="0.25">
      <c r="A31" s="5"/>
      <c r="B31" s="5"/>
      <c r="C31" s="5"/>
      <c r="D31" s="5"/>
      <c r="E31" s="6" t="s">
        <v>48</v>
      </c>
      <c r="F31" s="6">
        <v>2</v>
      </c>
      <c r="G31" s="6"/>
      <c r="H31" s="6">
        <f t="shared" si="0"/>
        <v>0</v>
      </c>
      <c r="I31" s="5"/>
      <c r="J31" s="5"/>
      <c r="K31" s="5"/>
      <c r="L31" s="5"/>
    </row>
    <row r="32" spans="1:12" x14ac:dyDescent="0.25">
      <c r="A32" s="5"/>
      <c r="B32" s="5"/>
      <c r="C32" s="5"/>
      <c r="D32" s="5"/>
      <c r="E32" s="6" t="s">
        <v>49</v>
      </c>
      <c r="F32" s="6">
        <v>2</v>
      </c>
      <c r="G32" s="6"/>
      <c r="H32" s="6">
        <f t="shared" si="0"/>
        <v>0</v>
      </c>
      <c r="I32" s="5"/>
      <c r="J32" s="5"/>
      <c r="K32" s="5"/>
      <c r="L32" s="5"/>
    </row>
    <row r="33" spans="1:12" x14ac:dyDescent="0.25">
      <c r="A33" s="5"/>
      <c r="B33" s="5"/>
      <c r="C33" s="5"/>
      <c r="D33" s="5"/>
      <c r="E33" s="6" t="s">
        <v>50</v>
      </c>
      <c r="F33" s="6">
        <v>3</v>
      </c>
      <c r="G33" s="6"/>
      <c r="H33" s="6">
        <f t="shared" si="0"/>
        <v>0</v>
      </c>
      <c r="I33" s="5"/>
      <c r="J33" s="5"/>
      <c r="K33" s="5"/>
      <c r="L33" s="5"/>
    </row>
    <row r="34" spans="1:12" x14ac:dyDescent="0.25">
      <c r="A34" s="5"/>
      <c r="B34" s="5"/>
      <c r="C34" s="5"/>
      <c r="D34" s="5"/>
      <c r="E34" s="6" t="s">
        <v>51</v>
      </c>
      <c r="F34" s="6">
        <v>1</v>
      </c>
      <c r="G34" s="6"/>
      <c r="H34" s="6">
        <f t="shared" si="0"/>
        <v>0</v>
      </c>
      <c r="I34" s="5"/>
      <c r="J34" s="5"/>
      <c r="K34" s="5"/>
      <c r="L34" s="5"/>
    </row>
    <row r="35" spans="1:12" x14ac:dyDescent="0.25">
      <c r="A35" s="5"/>
      <c r="B35" s="5"/>
      <c r="C35" s="5"/>
      <c r="D35" s="5"/>
      <c r="E35" s="6" t="s">
        <v>52</v>
      </c>
      <c r="F35" s="6">
        <v>2</v>
      </c>
      <c r="G35" s="6"/>
      <c r="H35" s="6">
        <f t="shared" si="0"/>
        <v>0</v>
      </c>
      <c r="I35" s="5"/>
      <c r="J35" s="5"/>
      <c r="K35" s="5"/>
      <c r="L35" s="5"/>
    </row>
    <row r="36" spans="1:12" x14ac:dyDescent="0.25">
      <c r="A36" s="5"/>
      <c r="B36" s="5"/>
      <c r="C36" s="5"/>
      <c r="D36" s="5"/>
      <c r="E36" s="6" t="s">
        <v>53</v>
      </c>
      <c r="F36" s="6">
        <v>5</v>
      </c>
      <c r="G36" s="6"/>
      <c r="H36" s="6">
        <f t="shared" si="0"/>
        <v>0</v>
      </c>
      <c r="I36" s="5"/>
      <c r="J36" s="5"/>
      <c r="K36" s="5"/>
      <c r="L36" s="5"/>
    </row>
    <row r="37" spans="1:12" x14ac:dyDescent="0.25">
      <c r="A37" s="5"/>
      <c r="B37" s="5"/>
      <c r="C37" s="5"/>
      <c r="D37" s="5"/>
      <c r="E37" s="6" t="s">
        <v>55</v>
      </c>
      <c r="F37" s="6">
        <v>1</v>
      </c>
      <c r="G37" s="6"/>
      <c r="H37" s="6">
        <f t="shared" si="0"/>
        <v>0</v>
      </c>
      <c r="I37" s="5"/>
      <c r="J37" s="5"/>
      <c r="K37" s="5"/>
      <c r="L37" s="5"/>
    </row>
    <row r="38" spans="1:12" x14ac:dyDescent="0.25">
      <c r="A38" s="5"/>
      <c r="B38" s="5"/>
      <c r="C38" s="5"/>
      <c r="D38" s="5"/>
      <c r="E38" s="6" t="s">
        <v>56</v>
      </c>
      <c r="F38" s="6">
        <v>1</v>
      </c>
      <c r="G38" s="6"/>
      <c r="H38" s="6">
        <f t="shared" si="0"/>
        <v>0</v>
      </c>
      <c r="I38" s="5"/>
      <c r="J38" s="5"/>
      <c r="K38" s="5"/>
      <c r="L38" s="5"/>
    </row>
    <row r="39" spans="1:12" x14ac:dyDescent="0.25">
      <c r="A39" s="5"/>
      <c r="B39" s="5"/>
      <c r="C39" s="5"/>
      <c r="D39" s="5"/>
      <c r="E39" s="6" t="s">
        <v>57</v>
      </c>
      <c r="F39" s="6">
        <v>1</v>
      </c>
      <c r="G39" s="6"/>
      <c r="H39" s="6">
        <f t="shared" si="0"/>
        <v>0</v>
      </c>
      <c r="I39" s="5"/>
      <c r="J39" s="5"/>
      <c r="K39" s="5"/>
      <c r="L39" s="5"/>
    </row>
    <row r="40" spans="1:12" x14ac:dyDescent="0.25">
      <c r="A40" s="5"/>
      <c r="B40" s="5"/>
      <c r="C40" s="5"/>
      <c r="D40" s="5"/>
      <c r="E40" s="6" t="s">
        <v>58</v>
      </c>
      <c r="F40" s="6">
        <v>2</v>
      </c>
      <c r="G40" s="6"/>
      <c r="H40" s="6">
        <f t="shared" si="0"/>
        <v>0</v>
      </c>
      <c r="I40" s="5"/>
      <c r="J40" s="5"/>
      <c r="K40" s="5"/>
      <c r="L40" s="5"/>
    </row>
    <row r="41" spans="1:12" x14ac:dyDescent="0.25">
      <c r="A41" s="5"/>
      <c r="B41" s="5"/>
      <c r="C41" s="5"/>
      <c r="D41" s="5"/>
      <c r="E41" s="6" t="s">
        <v>59</v>
      </c>
      <c r="F41" s="6">
        <v>1</v>
      </c>
      <c r="G41" s="6"/>
      <c r="H41" s="6">
        <f t="shared" si="0"/>
        <v>0</v>
      </c>
      <c r="I41" s="5"/>
      <c r="J41" s="5"/>
      <c r="K41" s="5"/>
      <c r="L41" s="5"/>
    </row>
    <row r="42" spans="1:12" x14ac:dyDescent="0.25">
      <c r="A42" s="5"/>
      <c r="B42" s="5"/>
      <c r="C42" s="5"/>
      <c r="D42" s="5"/>
      <c r="E42" s="6" t="s">
        <v>60</v>
      </c>
      <c r="F42" s="6">
        <v>3</v>
      </c>
      <c r="G42" s="6"/>
      <c r="H42" s="6">
        <f t="shared" si="0"/>
        <v>0</v>
      </c>
      <c r="I42" s="5"/>
      <c r="J42" s="5"/>
      <c r="K42" s="5"/>
      <c r="L42" s="5"/>
    </row>
    <row r="43" spans="1:12" x14ac:dyDescent="0.25">
      <c r="A43" s="5"/>
      <c r="B43" s="5"/>
      <c r="C43" s="5"/>
      <c r="D43" s="5"/>
      <c r="E43" s="6" t="s">
        <v>61</v>
      </c>
      <c r="F43" s="6">
        <v>1</v>
      </c>
      <c r="G43" s="6"/>
      <c r="H43" s="6">
        <f t="shared" si="0"/>
        <v>0</v>
      </c>
      <c r="I43" s="5"/>
      <c r="J43" s="5"/>
      <c r="K43" s="5"/>
      <c r="L43" s="5"/>
    </row>
    <row r="44" spans="1:12" x14ac:dyDescent="0.25">
      <c r="A44" s="5"/>
      <c r="B44" s="5"/>
      <c r="C44" s="5"/>
      <c r="D44" s="5"/>
      <c r="E44" s="6" t="s">
        <v>62</v>
      </c>
      <c r="F44" s="6">
        <v>5</v>
      </c>
      <c r="G44" s="6"/>
      <c r="H44" s="6">
        <f t="shared" si="0"/>
        <v>0</v>
      </c>
      <c r="I44" s="5"/>
      <c r="J44" s="5"/>
      <c r="K44" s="5"/>
      <c r="L44" s="5"/>
    </row>
    <row r="45" spans="1:12" x14ac:dyDescent="0.25">
      <c r="A45" s="5"/>
      <c r="B45" s="5"/>
      <c r="C45" s="5"/>
      <c r="D45" s="5"/>
      <c r="E45" s="6" t="s">
        <v>63</v>
      </c>
      <c r="F45" s="6">
        <v>1</v>
      </c>
      <c r="G45" s="6"/>
      <c r="H45" s="6">
        <f t="shared" si="0"/>
        <v>0</v>
      </c>
      <c r="I45" s="5"/>
      <c r="J45" s="5"/>
      <c r="K45" s="5"/>
      <c r="L45" s="5"/>
    </row>
    <row r="46" spans="1:12" x14ac:dyDescent="0.25">
      <c r="A46" s="5"/>
      <c r="B46" s="5"/>
      <c r="C46" s="5"/>
      <c r="D46" s="5"/>
      <c r="E46" s="6" t="s">
        <v>64</v>
      </c>
      <c r="F46" s="6">
        <v>1</v>
      </c>
      <c r="G46" s="6"/>
      <c r="H46" s="6">
        <f t="shared" si="0"/>
        <v>0</v>
      </c>
      <c r="I46" s="5"/>
      <c r="J46" s="5"/>
      <c r="K46" s="5"/>
      <c r="L46" s="5"/>
    </row>
    <row r="47" spans="1:12" x14ac:dyDescent="0.25">
      <c r="A47" s="5"/>
      <c r="B47" s="5"/>
      <c r="C47" s="5"/>
      <c r="D47" s="5"/>
      <c r="E47" s="6" t="s">
        <v>66</v>
      </c>
      <c r="F47" s="6">
        <v>18</v>
      </c>
      <c r="G47" s="6"/>
      <c r="H47" s="6">
        <f t="shared" si="0"/>
        <v>0</v>
      </c>
      <c r="I47" s="5"/>
      <c r="J47" s="5"/>
      <c r="K47" s="5"/>
      <c r="L47" s="5"/>
    </row>
    <row r="48" spans="1:12" x14ac:dyDescent="0.25">
      <c r="A48" s="5"/>
      <c r="B48" s="5"/>
      <c r="C48" s="5"/>
      <c r="D48" s="5"/>
      <c r="E48" s="6" t="s">
        <v>65</v>
      </c>
      <c r="F48" s="6">
        <v>2</v>
      </c>
      <c r="G48" s="6"/>
      <c r="H48" s="6">
        <f t="shared" si="0"/>
        <v>0</v>
      </c>
      <c r="I48" s="5"/>
      <c r="J48" s="5"/>
      <c r="K48" s="5"/>
      <c r="L48" s="5"/>
    </row>
    <row r="49" spans="1:12" x14ac:dyDescent="0.25">
      <c r="A49" s="5"/>
      <c r="B49" s="5"/>
      <c r="C49" s="5"/>
      <c r="D49" s="5"/>
      <c r="E49" s="6" t="s">
        <v>71</v>
      </c>
      <c r="F49" s="6">
        <v>1</v>
      </c>
      <c r="G49" s="6"/>
      <c r="H49" s="6">
        <f t="shared" si="0"/>
        <v>0</v>
      </c>
      <c r="I49" s="5"/>
      <c r="J49" s="5"/>
      <c r="K49" s="5"/>
      <c r="L49" s="5"/>
    </row>
    <row r="50" spans="1:12" x14ac:dyDescent="0.25">
      <c r="A50" s="5"/>
      <c r="B50" s="5"/>
      <c r="C50" s="5"/>
      <c r="D50" s="5"/>
      <c r="E50" s="6" t="s">
        <v>67</v>
      </c>
      <c r="F50" s="6">
        <v>1</v>
      </c>
      <c r="G50" s="6"/>
      <c r="H50" s="6">
        <f t="shared" si="0"/>
        <v>0</v>
      </c>
      <c r="I50" s="5"/>
      <c r="J50" s="5"/>
      <c r="K50" s="5"/>
      <c r="L50" s="5"/>
    </row>
    <row r="51" spans="1:12" x14ac:dyDescent="0.25">
      <c r="A51" s="5"/>
      <c r="B51" s="5"/>
      <c r="C51" s="5" t="s">
        <v>54</v>
      </c>
      <c r="D51" s="5">
        <v>1</v>
      </c>
      <c r="E51" s="6" t="s">
        <v>68</v>
      </c>
      <c r="F51" s="6">
        <v>1</v>
      </c>
      <c r="G51" s="6"/>
      <c r="H51" s="6">
        <f t="shared" si="0"/>
        <v>0</v>
      </c>
      <c r="I51" s="5">
        <f>SUM(F51:F67)</f>
        <v>25</v>
      </c>
      <c r="J51" s="5">
        <f>SUM(H51:H67)</f>
        <v>0</v>
      </c>
      <c r="K51" s="5"/>
      <c r="L51" s="5"/>
    </row>
    <row r="52" spans="1:12" x14ac:dyDescent="0.25">
      <c r="A52" s="5"/>
      <c r="B52" s="5"/>
      <c r="C52" s="5"/>
      <c r="D52" s="5"/>
      <c r="E52" s="6" t="s">
        <v>48</v>
      </c>
      <c r="F52" s="6">
        <v>1</v>
      </c>
      <c r="G52" s="6"/>
      <c r="H52" s="6">
        <f t="shared" si="0"/>
        <v>0</v>
      </c>
      <c r="I52" s="5"/>
      <c r="J52" s="5"/>
      <c r="K52" s="5"/>
      <c r="L52" s="5"/>
    </row>
    <row r="53" spans="1:12" x14ac:dyDescent="0.25">
      <c r="A53" s="5"/>
      <c r="B53" s="5"/>
      <c r="C53" s="5"/>
      <c r="D53" s="5"/>
      <c r="E53" s="6" t="s">
        <v>51</v>
      </c>
      <c r="F53" s="6">
        <v>1</v>
      </c>
      <c r="G53" s="6"/>
      <c r="H53" s="6">
        <f t="shared" si="0"/>
        <v>0</v>
      </c>
      <c r="I53" s="5"/>
      <c r="J53" s="5"/>
      <c r="K53" s="5"/>
      <c r="L53" s="5"/>
    </row>
    <row r="54" spans="1:12" x14ac:dyDescent="0.25">
      <c r="A54" s="5"/>
      <c r="B54" s="5"/>
      <c r="C54" s="5"/>
      <c r="D54" s="5"/>
      <c r="E54" s="6" t="s">
        <v>53</v>
      </c>
      <c r="F54" s="6">
        <v>1</v>
      </c>
      <c r="G54" s="6"/>
      <c r="H54" s="6">
        <f t="shared" si="0"/>
        <v>0</v>
      </c>
      <c r="I54" s="5"/>
      <c r="J54" s="5"/>
      <c r="K54" s="5"/>
      <c r="L54" s="5"/>
    </row>
    <row r="55" spans="1:12" x14ac:dyDescent="0.25">
      <c r="A55" s="5"/>
      <c r="B55" s="5"/>
      <c r="C55" s="5"/>
      <c r="D55" s="5"/>
      <c r="E55" s="6" t="s">
        <v>69</v>
      </c>
      <c r="F55" s="6">
        <v>1</v>
      </c>
      <c r="G55" s="6"/>
      <c r="H55" s="6">
        <f t="shared" si="0"/>
        <v>0</v>
      </c>
      <c r="I55" s="5"/>
      <c r="J55" s="5"/>
      <c r="K55" s="5"/>
      <c r="L55" s="5"/>
    </row>
    <row r="56" spans="1:12" x14ac:dyDescent="0.25">
      <c r="A56" s="5"/>
      <c r="B56" s="5"/>
      <c r="C56" s="5"/>
      <c r="D56" s="5"/>
      <c r="E56" s="6" t="s">
        <v>70</v>
      </c>
      <c r="F56" s="6">
        <v>2</v>
      </c>
      <c r="G56" s="6"/>
      <c r="H56" s="6">
        <f t="shared" si="0"/>
        <v>0</v>
      </c>
      <c r="I56" s="5"/>
      <c r="J56" s="5"/>
      <c r="K56" s="5"/>
      <c r="L56" s="5"/>
    </row>
    <row r="57" spans="1:12" x14ac:dyDescent="0.25">
      <c r="A57" s="5"/>
      <c r="B57" s="5"/>
      <c r="C57" s="5"/>
      <c r="D57" s="5"/>
      <c r="E57" s="6" t="s">
        <v>55</v>
      </c>
      <c r="F57" s="6">
        <v>1</v>
      </c>
      <c r="G57" s="6"/>
      <c r="H57" s="6">
        <f t="shared" si="0"/>
        <v>0</v>
      </c>
      <c r="I57" s="5"/>
      <c r="J57" s="5"/>
      <c r="K57" s="5"/>
      <c r="L57" s="5"/>
    </row>
    <row r="58" spans="1:12" x14ac:dyDescent="0.25">
      <c r="A58" s="5"/>
      <c r="B58" s="5"/>
      <c r="C58" s="5"/>
      <c r="D58" s="5"/>
      <c r="E58" s="6" t="s">
        <v>57</v>
      </c>
      <c r="F58" s="6">
        <v>1</v>
      </c>
      <c r="G58" s="6"/>
      <c r="H58" s="6">
        <f t="shared" si="0"/>
        <v>0</v>
      </c>
      <c r="I58" s="5"/>
      <c r="J58" s="5"/>
      <c r="K58" s="5"/>
      <c r="L58" s="5"/>
    </row>
    <row r="59" spans="1:12" x14ac:dyDescent="0.25">
      <c r="A59" s="5"/>
      <c r="B59" s="5"/>
      <c r="C59" s="5"/>
      <c r="D59" s="5"/>
      <c r="E59" s="6" t="s">
        <v>56</v>
      </c>
      <c r="F59" s="6">
        <v>1</v>
      </c>
      <c r="G59" s="6"/>
      <c r="H59" s="6">
        <f t="shared" si="0"/>
        <v>0</v>
      </c>
      <c r="I59" s="5"/>
      <c r="J59" s="5"/>
      <c r="K59" s="5"/>
      <c r="L59" s="5"/>
    </row>
    <row r="60" spans="1:12" x14ac:dyDescent="0.25">
      <c r="A60" s="5"/>
      <c r="B60" s="5"/>
      <c r="C60" s="5"/>
      <c r="D60" s="5"/>
      <c r="E60" s="6" t="s">
        <v>71</v>
      </c>
      <c r="F60" s="6">
        <v>1</v>
      </c>
      <c r="G60" s="6"/>
      <c r="H60" s="6">
        <f t="shared" si="0"/>
        <v>0</v>
      </c>
      <c r="I60" s="5"/>
      <c r="J60" s="5"/>
      <c r="K60" s="5"/>
      <c r="L60" s="5"/>
    </row>
    <row r="61" spans="1:12" x14ac:dyDescent="0.25">
      <c r="A61" s="5"/>
      <c r="B61" s="5"/>
      <c r="C61" s="5"/>
      <c r="D61" s="5"/>
      <c r="E61" s="6" t="s">
        <v>58</v>
      </c>
      <c r="F61" s="6">
        <v>5</v>
      </c>
      <c r="G61" s="6"/>
      <c r="H61" s="6">
        <f t="shared" si="0"/>
        <v>0</v>
      </c>
      <c r="I61" s="5"/>
      <c r="J61" s="5"/>
      <c r="K61" s="5"/>
      <c r="L61" s="5"/>
    </row>
    <row r="62" spans="1:12" x14ac:dyDescent="0.25">
      <c r="A62" s="5"/>
      <c r="B62" s="5"/>
      <c r="C62" s="5"/>
      <c r="D62" s="5"/>
      <c r="E62" s="6" t="s">
        <v>59</v>
      </c>
      <c r="F62" s="6">
        <v>1</v>
      </c>
      <c r="G62" s="6"/>
      <c r="H62" s="6">
        <f t="shared" si="0"/>
        <v>0</v>
      </c>
      <c r="I62" s="5"/>
      <c r="J62" s="5"/>
      <c r="K62" s="5"/>
      <c r="L62" s="5"/>
    </row>
    <row r="63" spans="1:12" x14ac:dyDescent="0.25">
      <c r="A63" s="5"/>
      <c r="B63" s="5"/>
      <c r="C63" s="5"/>
      <c r="D63" s="5"/>
      <c r="E63" s="6" t="s">
        <v>60</v>
      </c>
      <c r="F63" s="6">
        <v>3</v>
      </c>
      <c r="G63" s="6"/>
      <c r="H63" s="6">
        <f t="shared" si="0"/>
        <v>0</v>
      </c>
      <c r="I63" s="5"/>
      <c r="J63" s="5"/>
      <c r="K63" s="5"/>
      <c r="L63" s="5"/>
    </row>
    <row r="64" spans="1:12" x14ac:dyDescent="0.25">
      <c r="A64" s="5"/>
      <c r="B64" s="5"/>
      <c r="C64" s="5"/>
      <c r="D64" s="5"/>
      <c r="E64" s="6" t="s">
        <v>72</v>
      </c>
      <c r="F64" s="6">
        <v>2</v>
      </c>
      <c r="G64" s="6"/>
      <c r="H64" s="6">
        <f t="shared" si="0"/>
        <v>0</v>
      </c>
      <c r="I64" s="5"/>
      <c r="J64" s="5"/>
      <c r="K64" s="5"/>
      <c r="L64" s="5"/>
    </row>
    <row r="65" spans="1:12" x14ac:dyDescent="0.25">
      <c r="A65" s="5"/>
      <c r="B65" s="5"/>
      <c r="C65" s="5"/>
      <c r="D65" s="5"/>
      <c r="E65" s="6" t="s">
        <v>65</v>
      </c>
      <c r="F65" s="6">
        <v>1</v>
      </c>
      <c r="G65" s="6"/>
      <c r="H65" s="6">
        <f t="shared" si="0"/>
        <v>0</v>
      </c>
      <c r="I65" s="5"/>
      <c r="J65" s="5"/>
      <c r="K65" s="5"/>
      <c r="L65" s="5"/>
    </row>
    <row r="66" spans="1:12" x14ac:dyDescent="0.25">
      <c r="A66" s="5"/>
      <c r="B66" s="5"/>
      <c r="C66" s="5"/>
      <c r="D66" s="5"/>
      <c r="E66" s="6" t="s">
        <v>73</v>
      </c>
      <c r="F66" s="6">
        <v>1</v>
      </c>
      <c r="G66" s="6"/>
      <c r="H66" s="6">
        <f t="shared" si="0"/>
        <v>0</v>
      </c>
      <c r="I66" s="5"/>
      <c r="J66" s="5"/>
      <c r="K66" s="5"/>
      <c r="L66" s="5"/>
    </row>
    <row r="67" spans="1:12" x14ac:dyDescent="0.25">
      <c r="A67" s="5"/>
      <c r="B67" s="5"/>
      <c r="C67" s="5"/>
      <c r="D67" s="5"/>
      <c r="E67" s="6" t="s">
        <v>74</v>
      </c>
      <c r="F67" s="6">
        <v>1</v>
      </c>
      <c r="G67" s="6"/>
      <c r="H67" s="6">
        <f t="shared" si="0"/>
        <v>0</v>
      </c>
      <c r="I67" s="5"/>
      <c r="J67" s="5"/>
      <c r="K67" s="5"/>
      <c r="L67" s="5"/>
    </row>
    <row r="68" spans="1:12" x14ac:dyDescent="0.25">
      <c r="E68" s="1" t="s">
        <v>78</v>
      </c>
      <c r="F68">
        <f>SUM(F3:F67)</f>
        <v>149</v>
      </c>
      <c r="G68" s="1"/>
      <c r="H68" s="1"/>
      <c r="K68" s="1" t="s">
        <v>80</v>
      </c>
      <c r="L68">
        <f>SUM(L3:L67)</f>
        <v>0</v>
      </c>
    </row>
  </sheetData>
  <mergeCells count="45">
    <mergeCell ref="L27:L67"/>
    <mergeCell ref="J27:J28"/>
    <mergeCell ref="J29:J50"/>
    <mergeCell ref="J51:J67"/>
    <mergeCell ref="A1:L1"/>
    <mergeCell ref="I18:I22"/>
    <mergeCell ref="I23:I26"/>
    <mergeCell ref="I27:I28"/>
    <mergeCell ref="I29:I50"/>
    <mergeCell ref="I51:I67"/>
    <mergeCell ref="K3:K13"/>
    <mergeCell ref="K14:K26"/>
    <mergeCell ref="K27:K67"/>
    <mergeCell ref="C51:C67"/>
    <mergeCell ref="D51:D67"/>
    <mergeCell ref="A27:A67"/>
    <mergeCell ref="B27:B67"/>
    <mergeCell ref="C27:C28"/>
    <mergeCell ref="D27:D28"/>
    <mergeCell ref="C29:C50"/>
    <mergeCell ref="D29:D50"/>
    <mergeCell ref="C23:C26"/>
    <mergeCell ref="D23:D26"/>
    <mergeCell ref="B14:B26"/>
    <mergeCell ref="A14:A26"/>
    <mergeCell ref="J6:J13"/>
    <mergeCell ref="L3:L13"/>
    <mergeCell ref="J14:J17"/>
    <mergeCell ref="J18:J22"/>
    <mergeCell ref="J23:J26"/>
    <mergeCell ref="L14:L26"/>
    <mergeCell ref="A3:A13"/>
    <mergeCell ref="B3:B13"/>
    <mergeCell ref="C6:C13"/>
    <mergeCell ref="D6:D13"/>
    <mergeCell ref="D18:D22"/>
    <mergeCell ref="C18:C22"/>
    <mergeCell ref="J3:J5"/>
    <mergeCell ref="C14:C17"/>
    <mergeCell ref="D14:D17"/>
    <mergeCell ref="I3:I5"/>
    <mergeCell ref="I6:I13"/>
    <mergeCell ref="I14:I17"/>
    <mergeCell ref="C3:C5"/>
    <mergeCell ref="D3:D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Body Kinematics Check</vt:lpstr>
      <vt:lpstr>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Evan  Vadeboncoeur</dc:creator>
  <cp:lastModifiedBy>Evan  Vadeboncoeur</cp:lastModifiedBy>
  <dcterms:created xsi:type="dcterms:W3CDTF">2026-07-02T17:54:11Z</dcterms:created>
  <dcterms:modified xsi:type="dcterms:W3CDTF">2026-07-08T15:19:33Z</dcterms:modified>
</cp:coreProperties>
</file>