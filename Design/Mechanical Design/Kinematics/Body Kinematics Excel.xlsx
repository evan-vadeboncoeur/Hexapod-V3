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vadeboncoeur\Documents\PlatformIO\Projects\Hexapod v3\Design\Mechanical Design\Kinematics\"/>
    </mc:Choice>
  </mc:AlternateContent>
  <xr:revisionPtr revIDLastSave="0" documentId="13_ncr:1_{95C874A6-B586-4B16-B099-F8793B5CA5D5}" xr6:coauthVersionLast="47" xr6:coauthVersionMax="47" xr10:uidLastSave="{00000000-0000-0000-0000-000000000000}"/>
  <bookViews>
    <workbookView xWindow="-28920" yWindow="-120" windowWidth="29040" windowHeight="15720" activeTab="8" xr2:uid="{80FB6A6E-4815-48DC-A8C5-309DA8648198}"/>
  </bookViews>
  <sheets>
    <sheet name="X" sheetId="1" r:id="rId1"/>
    <sheet name="Y" sheetId="2" r:id="rId2"/>
    <sheet name="XY" sheetId="3" r:id="rId3"/>
    <sheet name="W" sheetId="4" r:id="rId4"/>
    <sheet name="XYW" sheetId="5" r:id="rId5"/>
    <sheet name="RC Calculations" sheetId="6" r:id="rId6"/>
    <sheet name="Ripple Phase" sheetId="7" r:id="rId7"/>
    <sheet name="X Ripple" sheetId="8" r:id="rId8"/>
    <sheet name="X Ripple 15" sheetId="9" r:id="rId9"/>
  </sheets>
  <definedNames>
    <definedName name="_xlnm._FilterDatabase" localSheetId="3" hidden="1">W!$A$4:$A$10</definedName>
    <definedName name="_xlnm._FilterDatabase" localSheetId="0" hidden="1">X!$A$4:$A$10</definedName>
    <definedName name="_xlnm._FilterDatabase" localSheetId="7" hidden="1">'X Ripple'!$A$4:$A$10</definedName>
    <definedName name="_xlnm._FilterDatabase" localSheetId="8" hidden="1">'X Ripple 15'!$A$4:$A$10</definedName>
    <definedName name="_xlnm._FilterDatabase" localSheetId="2" hidden="1">XY!$A$4:$A$10</definedName>
    <definedName name="_xlnm._FilterDatabase" localSheetId="4" hidden="1">XYW!$A$4:$A$10</definedName>
    <definedName name="_xlnm._FilterDatabase" localSheetId="1" hidden="1">Y!$A$4:$A$10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7" l="1"/>
  <c r="H5" i="7"/>
  <c r="H6" i="7"/>
  <c r="H7" i="7"/>
  <c r="H8" i="7"/>
  <c r="H9" i="7"/>
  <c r="B3" i="7"/>
  <c r="G14" i="6"/>
  <c r="G13" i="6"/>
  <c r="G9" i="6"/>
  <c r="B17" i="6"/>
  <c r="G6" i="6"/>
  <c r="G10" i="6" s="1"/>
  <c r="G11" i="6" s="1"/>
  <c r="G12" i="6" s="1"/>
  <c r="G5" i="6"/>
  <c r="G7" i="6" s="1"/>
  <c r="G8" i="6" s="1"/>
  <c r="B16" i="6"/>
  <c r="B14" i="6"/>
  <c r="B15" i="6"/>
  <c r="B12" i="6"/>
  <c r="B11" i="6"/>
  <c r="B10" i="6"/>
  <c r="B9" i="6"/>
  <c r="B4" i="6"/>
  <c r="B3" i="6"/>
</calcChain>
</file>

<file path=xl/sharedStrings.xml><?xml version="1.0" encoding="utf-8"?>
<sst xmlns="http://schemas.openxmlformats.org/spreadsheetml/2006/main" count="427" uniqueCount="86">
  <si>
    <t>Leg</t>
  </si>
  <si>
    <t>St_x</t>
  </si>
  <si>
    <t>St_y</t>
  </si>
  <si>
    <t>St_z</t>
  </si>
  <si>
    <t>Sw_x</t>
  </si>
  <si>
    <t>Sw_y</t>
  </si>
  <si>
    <t>Sw_z</t>
  </si>
  <si>
    <t>Lf_x</t>
  </si>
  <si>
    <t>Lf_y</t>
  </si>
  <si>
    <t>Lf_z</t>
  </si>
  <si>
    <t>Vx:</t>
  </si>
  <si>
    <t>Vy:</t>
  </si>
  <si>
    <t>Vm:</t>
  </si>
  <si>
    <t>Wz:</t>
  </si>
  <si>
    <t>Constants</t>
  </si>
  <si>
    <t>Quantity</t>
  </si>
  <si>
    <t>Value</t>
  </si>
  <si>
    <t xml:space="preserve">Unit </t>
  </si>
  <si>
    <t>Comment</t>
  </si>
  <si>
    <t>PI/6</t>
  </si>
  <si>
    <t>PI/3</t>
  </si>
  <si>
    <t>rad</t>
  </si>
  <si>
    <t>Calculations</t>
  </si>
  <si>
    <t>ADC MAX</t>
  </si>
  <si>
    <t>X ADC Max</t>
  </si>
  <si>
    <t>Y ADC Max</t>
  </si>
  <si>
    <t>V mag min</t>
  </si>
  <si>
    <t>V mag max</t>
  </si>
  <si>
    <t>X ADC Mid</t>
  </si>
  <si>
    <t>Y ADC Mid</t>
  </si>
  <si>
    <t>ADC MIN</t>
  </si>
  <si>
    <t>bits</t>
  </si>
  <si>
    <t>mm/s</t>
  </si>
  <si>
    <t>ADC X</t>
  </si>
  <si>
    <t>ADC Y</t>
  </si>
  <si>
    <t>V map</t>
  </si>
  <si>
    <t>V adc</t>
  </si>
  <si>
    <t>ADC XC</t>
  </si>
  <si>
    <t>ADC YC</t>
  </si>
  <si>
    <t>X ADC Min</t>
  </si>
  <si>
    <t>Y ADC Min</t>
  </si>
  <si>
    <t>Center Shift</t>
  </si>
  <si>
    <t>X ADC MaxS</t>
  </si>
  <si>
    <t>X ADC MinS</t>
  </si>
  <si>
    <t>Y ADC MaxS</t>
  </si>
  <si>
    <t>Y ADC MinS</t>
  </si>
  <si>
    <t>V adc Max</t>
  </si>
  <si>
    <t>V adc Min</t>
  </si>
  <si>
    <t>Theta T1</t>
  </si>
  <si>
    <t>Theta T2</t>
  </si>
  <si>
    <t>Quantized</t>
  </si>
  <si>
    <t>Theta T2D</t>
  </si>
  <si>
    <t>deg</t>
  </si>
  <si>
    <t>vx</t>
  </si>
  <si>
    <t>vy</t>
  </si>
  <si>
    <t>along robot +X</t>
  </si>
  <si>
    <t>along robot +Y</t>
  </si>
  <si>
    <t>V clamp</t>
  </si>
  <si>
    <t>test</t>
  </si>
  <si>
    <t>RC</t>
  </si>
  <si>
    <t>Leg 0</t>
  </si>
  <si>
    <t>Leg 1</t>
  </si>
  <si>
    <t>Leg 2</t>
  </si>
  <si>
    <t>Leg 3</t>
  </si>
  <si>
    <t>Leg 4</t>
  </si>
  <si>
    <t>Leg 5</t>
  </si>
  <si>
    <t>s</t>
  </si>
  <si>
    <t>Cycle Const</t>
  </si>
  <si>
    <t>s_total</t>
  </si>
  <si>
    <t>i</t>
  </si>
  <si>
    <t>-</t>
  </si>
  <si>
    <t>Leg:</t>
  </si>
  <si>
    <t>S</t>
  </si>
  <si>
    <t>SW/ST:</t>
  </si>
  <si>
    <t>X_B:</t>
  </si>
  <si>
    <t>Y_B:</t>
  </si>
  <si>
    <t>Z_B:</t>
  </si>
  <si>
    <t>X_F:</t>
  </si>
  <si>
    <t>Y_F:</t>
  </si>
  <si>
    <t>Z_F:</t>
  </si>
  <si>
    <t>J0:</t>
  </si>
  <si>
    <t>J1:</t>
  </si>
  <si>
    <t>J2:</t>
  </si>
  <si>
    <t>SW</t>
  </si>
  <si>
    <t>ST</t>
  </si>
  <si>
    <t>RC: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</si>
</sst>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605375422101736E-2"/>
          <c:y val="2.3523236066079974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X!$C$4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X!$B$5:$B$10</c:f>
              <c:numCache>
                <c:formatCode>General</c:formatCode>
                <c:ptCount val="6"/>
                <c:pt idx="0">
                  <c:v>199.32</c:v>
                </c:pt>
                <c:pt idx="1">
                  <c:v>-41.25</c:v>
                </c:pt>
                <c:pt idx="2">
                  <c:v>-281.82</c:v>
                </c:pt>
                <c:pt idx="3">
                  <c:v>-281.82</c:v>
                </c:pt>
                <c:pt idx="4">
                  <c:v>-41.25</c:v>
                </c:pt>
                <c:pt idx="5">
                  <c:v>199.32</c:v>
                </c:pt>
              </c:numCache>
            </c:numRef>
          </c:xVal>
          <c:yVal>
            <c:numRef>
              <c:f>X!$C$5:$C$10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0F-4026-85A8-D1FF208B8244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X!$E$5:$E$10</c:f>
              <c:numCache>
                <c:formatCode>General</c:formatCode>
                <c:ptCount val="6"/>
                <c:pt idx="0">
                  <c:v>281.82</c:v>
                </c:pt>
                <c:pt idx="1">
                  <c:v>41.25</c:v>
                </c:pt>
                <c:pt idx="2">
                  <c:v>-199.32</c:v>
                </c:pt>
                <c:pt idx="3">
                  <c:v>-199.32</c:v>
                </c:pt>
                <c:pt idx="4">
                  <c:v>41.25</c:v>
                </c:pt>
                <c:pt idx="5">
                  <c:v>281.82</c:v>
                </c:pt>
              </c:numCache>
            </c:numRef>
          </c:xVal>
          <c:yVal>
            <c:numRef>
              <c:f>X!$F$5:$F$10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0F-4026-85A8-D1FF208B8244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X!$H$5:$H$10</c:f>
              <c:numCache>
                <c:formatCode>General</c:formatCode>
                <c:ptCount val="6"/>
                <c:pt idx="0">
                  <c:v>240.57</c:v>
                </c:pt>
                <c:pt idx="1">
                  <c:v>0</c:v>
                </c:pt>
                <c:pt idx="2">
                  <c:v>-240.57</c:v>
                </c:pt>
                <c:pt idx="3">
                  <c:v>-240.57</c:v>
                </c:pt>
                <c:pt idx="4">
                  <c:v>0</c:v>
                </c:pt>
                <c:pt idx="5">
                  <c:v>240.57</c:v>
                </c:pt>
              </c:numCache>
            </c:numRef>
          </c:xVal>
          <c:yVal>
            <c:numRef>
              <c:f>X!$I$5:$I$10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0F-4026-85A8-D1FF208B8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605375422101736E-2"/>
          <c:y val="2.3523236066079974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Y!$C$4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Y!$B$5:$B$10</c:f>
              <c:numCache>
                <c:formatCode>General</c:formatCode>
                <c:ptCount val="6"/>
                <c:pt idx="0">
                  <c:v>234.91</c:v>
                </c:pt>
                <c:pt idx="1">
                  <c:v>0</c:v>
                </c:pt>
                <c:pt idx="2">
                  <c:v>-234.91</c:v>
                </c:pt>
                <c:pt idx="3">
                  <c:v>-234.91</c:v>
                </c:pt>
                <c:pt idx="4">
                  <c:v>0</c:v>
                </c:pt>
                <c:pt idx="5">
                  <c:v>234.91</c:v>
                </c:pt>
              </c:numCache>
            </c:numRef>
          </c:xVal>
          <c:yVal>
            <c:numRef>
              <c:f>Y!$C$5:$C$10</c:f>
              <c:numCache>
                <c:formatCode>General</c:formatCode>
                <c:ptCount val="6"/>
                <c:pt idx="0">
                  <c:v>116.88</c:v>
                </c:pt>
                <c:pt idx="1">
                  <c:v>252.51</c:v>
                </c:pt>
                <c:pt idx="2">
                  <c:v>116.88</c:v>
                </c:pt>
                <c:pt idx="3">
                  <c:v>-154.38</c:v>
                </c:pt>
                <c:pt idx="4">
                  <c:v>-290.01</c:v>
                </c:pt>
                <c:pt idx="5">
                  <c:v>-154.38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A8-46BF-B2AC-C88139B44B87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Y!$E$5:$E$10</c:f>
              <c:numCache>
                <c:formatCode>General</c:formatCode>
                <c:ptCount val="6"/>
                <c:pt idx="0">
                  <c:v>234.91</c:v>
                </c:pt>
                <c:pt idx="1">
                  <c:v>0</c:v>
                </c:pt>
                <c:pt idx="2">
                  <c:v>-234.91</c:v>
                </c:pt>
                <c:pt idx="3">
                  <c:v>-234.91</c:v>
                </c:pt>
                <c:pt idx="4">
                  <c:v>0</c:v>
                </c:pt>
                <c:pt idx="5">
                  <c:v>234.91</c:v>
                </c:pt>
              </c:numCache>
            </c:numRef>
          </c:xVal>
          <c:yVal>
            <c:numRef>
              <c:f>Y!$F$5:$F$10</c:f>
              <c:numCache>
                <c:formatCode>General</c:formatCode>
                <c:ptCount val="6"/>
                <c:pt idx="0">
                  <c:v>154.38</c:v>
                </c:pt>
                <c:pt idx="1">
                  <c:v>290.01</c:v>
                </c:pt>
                <c:pt idx="2">
                  <c:v>154.38</c:v>
                </c:pt>
                <c:pt idx="3">
                  <c:v>-116.88</c:v>
                </c:pt>
                <c:pt idx="4">
                  <c:v>-252.51</c:v>
                </c:pt>
                <c:pt idx="5">
                  <c:v>-116.88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A8-46BF-B2AC-C88139B44B87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Y!$H$5:$H$10</c:f>
              <c:numCache>
                <c:formatCode>General</c:formatCode>
                <c:ptCount val="6"/>
                <c:pt idx="0">
                  <c:v>234.91</c:v>
                </c:pt>
                <c:pt idx="1">
                  <c:v>0</c:v>
                </c:pt>
                <c:pt idx="2">
                  <c:v>-234.91</c:v>
                </c:pt>
                <c:pt idx="3">
                  <c:v>-234.91</c:v>
                </c:pt>
                <c:pt idx="4">
                  <c:v>0</c:v>
                </c:pt>
                <c:pt idx="5">
                  <c:v>234.91</c:v>
                </c:pt>
              </c:numCache>
            </c:numRef>
          </c:xVal>
          <c:yVal>
            <c:numRef>
              <c:f>Y!$I$5:$I$10</c:f>
              <c:numCache>
                <c:formatCode>General</c:formatCode>
                <c:ptCount val="6"/>
                <c:pt idx="0">
                  <c:v>135.63</c:v>
                </c:pt>
                <c:pt idx="1">
                  <c:v>271.26</c:v>
                </c:pt>
                <c:pt idx="2">
                  <c:v>135.63</c:v>
                </c:pt>
                <c:pt idx="3">
                  <c:v>-135.63</c:v>
                </c:pt>
                <c:pt idx="4">
                  <c:v>-271.26</c:v>
                </c:pt>
                <c:pt idx="5">
                  <c:v>-135.63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A8-46BF-B2AC-C88139B44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605375422101736E-2"/>
          <c:y val="2.3523236066079974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XY!$C$4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XY!$B$5:$B$10</c:f>
              <c:numCache>
                <c:formatCode>General</c:formatCode>
                <c:ptCount val="6"/>
                <c:pt idx="0">
                  <c:v>208.66</c:v>
                </c:pt>
                <c:pt idx="1">
                  <c:v>-26.25</c:v>
                </c:pt>
                <c:pt idx="2">
                  <c:v>-261.16000000000003</c:v>
                </c:pt>
                <c:pt idx="3">
                  <c:v>-261.16000000000003</c:v>
                </c:pt>
                <c:pt idx="4">
                  <c:v>-26.25</c:v>
                </c:pt>
                <c:pt idx="5">
                  <c:v>208.66</c:v>
                </c:pt>
              </c:numCache>
            </c:numRef>
          </c:xVal>
          <c:yVal>
            <c:numRef>
              <c:f>XY!$C$5:$C$10</c:f>
              <c:numCache>
                <c:formatCode>General</c:formatCode>
                <c:ptCount val="6"/>
                <c:pt idx="0">
                  <c:v>109.38</c:v>
                </c:pt>
                <c:pt idx="1">
                  <c:v>245.01</c:v>
                </c:pt>
                <c:pt idx="2">
                  <c:v>109.38</c:v>
                </c:pt>
                <c:pt idx="3">
                  <c:v>-161.88</c:v>
                </c:pt>
                <c:pt idx="4">
                  <c:v>-297.51</c:v>
                </c:pt>
                <c:pt idx="5">
                  <c:v>-161.88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FC-4D7D-934F-07F608CA0A5F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XY!$E$5:$E$10</c:f>
              <c:numCache>
                <c:formatCode>General</c:formatCode>
                <c:ptCount val="6"/>
                <c:pt idx="0">
                  <c:v>261.16000000000003</c:v>
                </c:pt>
                <c:pt idx="1">
                  <c:v>26.25</c:v>
                </c:pt>
                <c:pt idx="2">
                  <c:v>-208.66</c:v>
                </c:pt>
                <c:pt idx="3">
                  <c:v>-208.66</c:v>
                </c:pt>
                <c:pt idx="4">
                  <c:v>26.25</c:v>
                </c:pt>
                <c:pt idx="5">
                  <c:v>261.16000000000003</c:v>
                </c:pt>
              </c:numCache>
            </c:numRef>
          </c:xVal>
          <c:yVal>
            <c:numRef>
              <c:f>XY!$F$5:$F$10</c:f>
              <c:numCache>
                <c:formatCode>General</c:formatCode>
                <c:ptCount val="6"/>
                <c:pt idx="0">
                  <c:v>161.88</c:v>
                </c:pt>
                <c:pt idx="1">
                  <c:v>297.51</c:v>
                </c:pt>
                <c:pt idx="2">
                  <c:v>161.88</c:v>
                </c:pt>
                <c:pt idx="3">
                  <c:v>-109.38</c:v>
                </c:pt>
                <c:pt idx="4">
                  <c:v>-245.01</c:v>
                </c:pt>
                <c:pt idx="5">
                  <c:v>-109.38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FC-4D7D-934F-07F608CA0A5F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XY!$H$5:$H$10</c:f>
              <c:numCache>
                <c:formatCode>General</c:formatCode>
                <c:ptCount val="6"/>
                <c:pt idx="0">
                  <c:v>234.91</c:v>
                </c:pt>
                <c:pt idx="1">
                  <c:v>0</c:v>
                </c:pt>
                <c:pt idx="2">
                  <c:v>-234.91</c:v>
                </c:pt>
                <c:pt idx="3">
                  <c:v>-234.91</c:v>
                </c:pt>
                <c:pt idx="4">
                  <c:v>0</c:v>
                </c:pt>
                <c:pt idx="5">
                  <c:v>234.91</c:v>
                </c:pt>
              </c:numCache>
            </c:numRef>
          </c:xVal>
          <c:yVal>
            <c:numRef>
              <c:f>XY!$I$5:$I$10</c:f>
              <c:numCache>
                <c:formatCode>General</c:formatCode>
                <c:ptCount val="6"/>
                <c:pt idx="0">
                  <c:v>135.63</c:v>
                </c:pt>
                <c:pt idx="1">
                  <c:v>271.26</c:v>
                </c:pt>
                <c:pt idx="2">
                  <c:v>135.63</c:v>
                </c:pt>
                <c:pt idx="3">
                  <c:v>-135.63</c:v>
                </c:pt>
                <c:pt idx="4">
                  <c:v>-271.26</c:v>
                </c:pt>
                <c:pt idx="5">
                  <c:v>-135.63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FC-4D7D-934F-07F608CA0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605375422101736E-2"/>
          <c:y val="2.3523236066079974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W!$C$4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W!$B$5:$B$10</c:f>
              <c:numCache>
                <c:formatCode>General</c:formatCode>
                <c:ptCount val="6"/>
                <c:pt idx="0">
                  <c:v>247.63</c:v>
                </c:pt>
                <c:pt idx="1">
                  <c:v>25.43</c:v>
                </c:pt>
                <c:pt idx="2">
                  <c:v>-222.2</c:v>
                </c:pt>
                <c:pt idx="3">
                  <c:v>-247.63</c:v>
                </c:pt>
                <c:pt idx="4">
                  <c:v>-25.43</c:v>
                </c:pt>
                <c:pt idx="5">
                  <c:v>222.2</c:v>
                </c:pt>
              </c:numCache>
            </c:numRef>
          </c:xVal>
          <c:yVal>
            <c:numRef>
              <c:f>W!$C$5:$C$10</c:f>
              <c:numCache>
                <c:formatCode>General</c:formatCode>
                <c:ptCount val="6"/>
                <c:pt idx="0">
                  <c:v>113.6</c:v>
                </c:pt>
                <c:pt idx="1">
                  <c:v>271.26</c:v>
                </c:pt>
                <c:pt idx="2">
                  <c:v>157.65</c:v>
                </c:pt>
                <c:pt idx="3">
                  <c:v>-113.6</c:v>
                </c:pt>
                <c:pt idx="4">
                  <c:v>-271.26</c:v>
                </c:pt>
                <c:pt idx="5">
                  <c:v>-157.65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BD-45F2-9204-9E8D1E164920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W!$E$5:$E$10</c:f>
              <c:numCache>
                <c:formatCode>General</c:formatCode>
                <c:ptCount val="6"/>
                <c:pt idx="0">
                  <c:v>222.2</c:v>
                </c:pt>
                <c:pt idx="1">
                  <c:v>-25.43</c:v>
                </c:pt>
                <c:pt idx="2">
                  <c:v>-247.63</c:v>
                </c:pt>
                <c:pt idx="3">
                  <c:v>-222.2</c:v>
                </c:pt>
                <c:pt idx="4">
                  <c:v>25.43</c:v>
                </c:pt>
                <c:pt idx="5">
                  <c:v>247.63</c:v>
                </c:pt>
              </c:numCache>
            </c:numRef>
          </c:xVal>
          <c:yVal>
            <c:numRef>
              <c:f>W!$F$5:$F$10</c:f>
              <c:numCache>
                <c:formatCode>General</c:formatCode>
                <c:ptCount val="6"/>
                <c:pt idx="0">
                  <c:v>157.65</c:v>
                </c:pt>
                <c:pt idx="1">
                  <c:v>271.26</c:v>
                </c:pt>
                <c:pt idx="2">
                  <c:v>113.6</c:v>
                </c:pt>
                <c:pt idx="3">
                  <c:v>-157.65</c:v>
                </c:pt>
                <c:pt idx="4">
                  <c:v>-271.26</c:v>
                </c:pt>
                <c:pt idx="5">
                  <c:v>-113.6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5F2-9204-9E8D1E164920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W!$H$5:$H$10</c:f>
              <c:numCache>
                <c:formatCode>General</c:formatCode>
                <c:ptCount val="6"/>
                <c:pt idx="0">
                  <c:v>234.91</c:v>
                </c:pt>
                <c:pt idx="1">
                  <c:v>0</c:v>
                </c:pt>
                <c:pt idx="2">
                  <c:v>-234.91</c:v>
                </c:pt>
                <c:pt idx="3">
                  <c:v>-234.91</c:v>
                </c:pt>
                <c:pt idx="4">
                  <c:v>0</c:v>
                </c:pt>
                <c:pt idx="5">
                  <c:v>234.91</c:v>
                </c:pt>
              </c:numCache>
            </c:numRef>
          </c:xVal>
          <c:yVal>
            <c:numRef>
              <c:f>W!$I$5:$I$10</c:f>
              <c:numCache>
                <c:formatCode>General</c:formatCode>
                <c:ptCount val="6"/>
                <c:pt idx="0">
                  <c:v>135.63</c:v>
                </c:pt>
                <c:pt idx="1">
                  <c:v>271.26</c:v>
                </c:pt>
                <c:pt idx="2">
                  <c:v>135.63</c:v>
                </c:pt>
                <c:pt idx="3">
                  <c:v>-135.63</c:v>
                </c:pt>
                <c:pt idx="4">
                  <c:v>-271.26</c:v>
                </c:pt>
                <c:pt idx="5">
                  <c:v>-135.63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5F2-9204-9E8D1E164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605375422101736E-2"/>
          <c:y val="2.3523236066079974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XYW!$C$4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XYW!$B$5:$B$10</c:f>
              <c:numCache>
                <c:formatCode>General</c:formatCode>
                <c:ptCount val="6"/>
                <c:pt idx="0">
                  <c:v>236.25</c:v>
                </c:pt>
                <c:pt idx="1">
                  <c:v>6.42</c:v>
                </c:pt>
                <c:pt idx="2">
                  <c:v>-233.58</c:v>
                </c:pt>
                <c:pt idx="3">
                  <c:v>-243.75</c:v>
                </c:pt>
                <c:pt idx="4">
                  <c:v>-13.92</c:v>
                </c:pt>
                <c:pt idx="5">
                  <c:v>226.08</c:v>
                </c:pt>
              </c:numCache>
            </c:numRef>
          </c:xVal>
          <c:yVal>
            <c:numRef>
              <c:f>XYW!$C$5:$C$10</c:f>
              <c:numCache>
                <c:formatCode>General</c:formatCode>
                <c:ptCount val="6"/>
                <c:pt idx="0">
                  <c:v>123.07</c:v>
                </c:pt>
                <c:pt idx="1">
                  <c:v>267.51</c:v>
                </c:pt>
                <c:pt idx="2">
                  <c:v>140.69</c:v>
                </c:pt>
                <c:pt idx="3">
                  <c:v>-130.57</c:v>
                </c:pt>
                <c:pt idx="4">
                  <c:v>-275.01</c:v>
                </c:pt>
                <c:pt idx="5">
                  <c:v>-148.19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69-4F64-9095-30C126BF2999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XYW!$E$5:$E$10</c:f>
              <c:numCache>
                <c:formatCode>General</c:formatCode>
                <c:ptCount val="6"/>
                <c:pt idx="0">
                  <c:v>233.58</c:v>
                </c:pt>
                <c:pt idx="1">
                  <c:v>-6.42</c:v>
                </c:pt>
                <c:pt idx="2">
                  <c:v>-236.25</c:v>
                </c:pt>
                <c:pt idx="3">
                  <c:v>-226.08</c:v>
                </c:pt>
                <c:pt idx="4">
                  <c:v>13.92</c:v>
                </c:pt>
                <c:pt idx="5">
                  <c:v>243.75</c:v>
                </c:pt>
              </c:numCache>
            </c:numRef>
          </c:xVal>
          <c:yVal>
            <c:numRef>
              <c:f>XYW!$F$5:$F$10</c:f>
              <c:numCache>
                <c:formatCode>General</c:formatCode>
                <c:ptCount val="6"/>
                <c:pt idx="0">
                  <c:v>148.19</c:v>
                </c:pt>
                <c:pt idx="1">
                  <c:v>275.01</c:v>
                </c:pt>
                <c:pt idx="2">
                  <c:v>130.57</c:v>
                </c:pt>
                <c:pt idx="3">
                  <c:v>-140.69</c:v>
                </c:pt>
                <c:pt idx="4">
                  <c:v>-267.51</c:v>
                </c:pt>
                <c:pt idx="5">
                  <c:v>-123.07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69-4F64-9095-30C126BF2999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XYW!$H$5:$H$10</c:f>
              <c:numCache>
                <c:formatCode>General</c:formatCode>
                <c:ptCount val="6"/>
                <c:pt idx="0">
                  <c:v>234.91</c:v>
                </c:pt>
                <c:pt idx="1">
                  <c:v>0</c:v>
                </c:pt>
                <c:pt idx="2">
                  <c:v>-234.91</c:v>
                </c:pt>
                <c:pt idx="3">
                  <c:v>-234.91</c:v>
                </c:pt>
                <c:pt idx="4">
                  <c:v>0</c:v>
                </c:pt>
                <c:pt idx="5">
                  <c:v>234.91</c:v>
                </c:pt>
              </c:numCache>
            </c:numRef>
          </c:xVal>
          <c:yVal>
            <c:numRef>
              <c:f>XYW!$I$5:$I$10</c:f>
              <c:numCache>
                <c:formatCode>General</c:formatCode>
                <c:ptCount val="6"/>
                <c:pt idx="0">
                  <c:v>135.63</c:v>
                </c:pt>
                <c:pt idx="1">
                  <c:v>271.26</c:v>
                </c:pt>
                <c:pt idx="2">
                  <c:v>135.63</c:v>
                </c:pt>
                <c:pt idx="3">
                  <c:v>-135.63</c:v>
                </c:pt>
                <c:pt idx="4">
                  <c:v>-271.26</c:v>
                </c:pt>
                <c:pt idx="5">
                  <c:v>-135.63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69-4F64-9095-30C126BF2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Stance</a:t>
            </a:r>
            <a:r>
              <a:rPr lang="en-US" baseline="0"/>
              <a:t> -&gt; Swing S [0,1]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605375422101736E-2"/>
          <c:y val="2.3523236066079974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'X Ripple'!$C$4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 Ripple'!$B$5:$B$10</c:f>
              <c:numCache>
                <c:formatCode>General</c:formatCode>
                <c:ptCount val="6"/>
                <c:pt idx="0">
                  <c:v>199.32</c:v>
                </c:pt>
                <c:pt idx="1">
                  <c:v>-41.25</c:v>
                </c:pt>
                <c:pt idx="2">
                  <c:v>-281.82</c:v>
                </c:pt>
                <c:pt idx="3">
                  <c:v>-281.82</c:v>
                </c:pt>
                <c:pt idx="4">
                  <c:v>-41.25</c:v>
                </c:pt>
                <c:pt idx="5">
                  <c:v>199.32</c:v>
                </c:pt>
              </c:numCache>
            </c:numRef>
          </c:xVal>
          <c:yVal>
            <c:numRef>
              <c:f>'X Ripple'!$C$5:$C$10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B0-40F0-8A8E-B19017A163D2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'X Ripple'!$E$5:$E$10</c:f>
              <c:numCache>
                <c:formatCode>General</c:formatCode>
                <c:ptCount val="6"/>
                <c:pt idx="0">
                  <c:v>281.82</c:v>
                </c:pt>
                <c:pt idx="1">
                  <c:v>41.25</c:v>
                </c:pt>
                <c:pt idx="2">
                  <c:v>-199.32</c:v>
                </c:pt>
                <c:pt idx="3">
                  <c:v>-199.32</c:v>
                </c:pt>
                <c:pt idx="4">
                  <c:v>41.25</c:v>
                </c:pt>
                <c:pt idx="5">
                  <c:v>281.82</c:v>
                </c:pt>
              </c:numCache>
            </c:numRef>
          </c:xVal>
          <c:yVal>
            <c:numRef>
              <c:f>'X Ripple'!$F$5:$F$10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B0-40F0-8A8E-B19017A163D2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'X Ripple'!$H$5:$H$10</c:f>
              <c:numCache>
                <c:formatCode>General</c:formatCode>
                <c:ptCount val="6"/>
                <c:pt idx="0">
                  <c:v>240.57</c:v>
                </c:pt>
                <c:pt idx="1">
                  <c:v>0</c:v>
                </c:pt>
                <c:pt idx="2">
                  <c:v>-240.57</c:v>
                </c:pt>
                <c:pt idx="3">
                  <c:v>-240.57</c:v>
                </c:pt>
                <c:pt idx="4">
                  <c:v>0</c:v>
                </c:pt>
                <c:pt idx="5">
                  <c:v>240.57</c:v>
                </c:pt>
              </c:numCache>
            </c:numRef>
          </c:xVal>
          <c:yVal>
            <c:numRef>
              <c:f>'X Ripple'!$I$5:$I$10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B0-40F0-8A8E-B19017A16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Stance</a:t>
            </a:r>
            <a:r>
              <a:rPr lang="en-US" baseline="0"/>
              <a:t> -&gt; Swing S [0,1/6]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605375422101736E-2"/>
          <c:y val="2.3523236066079974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'X Ripple'!$C$4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 Ripple'!$B$5:$B$10</c:f>
              <c:numCache>
                <c:formatCode>General</c:formatCode>
                <c:ptCount val="6"/>
                <c:pt idx="0">
                  <c:v>199.32</c:v>
                </c:pt>
                <c:pt idx="1">
                  <c:v>-41.25</c:v>
                </c:pt>
                <c:pt idx="2">
                  <c:v>-281.82</c:v>
                </c:pt>
                <c:pt idx="3">
                  <c:v>-281.82</c:v>
                </c:pt>
                <c:pt idx="4">
                  <c:v>-41.25</c:v>
                </c:pt>
                <c:pt idx="5">
                  <c:v>199.32</c:v>
                </c:pt>
              </c:numCache>
            </c:numRef>
          </c:xVal>
          <c:yVal>
            <c:numRef>
              <c:f>'X Ripple'!$C$5:$C$10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1E-4C49-A286-119C7A030188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'X Ripple'!$E$5:$E$10</c:f>
              <c:numCache>
                <c:formatCode>General</c:formatCode>
                <c:ptCount val="6"/>
                <c:pt idx="0">
                  <c:v>281.82</c:v>
                </c:pt>
                <c:pt idx="1">
                  <c:v>41.25</c:v>
                </c:pt>
                <c:pt idx="2">
                  <c:v>-199.32</c:v>
                </c:pt>
                <c:pt idx="3">
                  <c:v>-199.32</c:v>
                </c:pt>
                <c:pt idx="4">
                  <c:v>41.25</c:v>
                </c:pt>
                <c:pt idx="5">
                  <c:v>281.82</c:v>
                </c:pt>
              </c:numCache>
            </c:numRef>
          </c:xVal>
          <c:yVal>
            <c:numRef>
              <c:f>'X Ripple'!$F$5:$F$10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1E-4C49-A286-119C7A030188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'X Ripple'!$H$5:$H$10</c:f>
              <c:numCache>
                <c:formatCode>General</c:formatCode>
                <c:ptCount val="6"/>
                <c:pt idx="0">
                  <c:v>240.57</c:v>
                </c:pt>
                <c:pt idx="1">
                  <c:v>0</c:v>
                </c:pt>
                <c:pt idx="2">
                  <c:v>-240.57</c:v>
                </c:pt>
                <c:pt idx="3">
                  <c:v>-240.57</c:v>
                </c:pt>
                <c:pt idx="4">
                  <c:v>0</c:v>
                </c:pt>
                <c:pt idx="5">
                  <c:v>240.57</c:v>
                </c:pt>
              </c:numCache>
            </c:numRef>
          </c:xVal>
          <c:yVal>
            <c:numRef>
              <c:f>'X Ripple'!$I$5:$I$10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1E-4C49-A286-119C7A030188}"/>
            </c:ext>
          </c:extLst>
        </c:ser>
        <c:ser>
          <c:idx val="3"/>
          <c:order val="3"/>
          <c:tx>
            <c:v>Rp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'X Ripple'!$P$5:$P$10</c:f>
              <c:numCache>
                <c:formatCode>General</c:formatCode>
                <c:ptCount val="6"/>
                <c:pt idx="0">
                  <c:v>281.82</c:v>
                </c:pt>
                <c:pt idx="1">
                  <c:v>-27.5</c:v>
                </c:pt>
                <c:pt idx="2">
                  <c:v>-254.32</c:v>
                </c:pt>
                <c:pt idx="3">
                  <c:v>240.57</c:v>
                </c:pt>
                <c:pt idx="4">
                  <c:v>13.75</c:v>
                </c:pt>
                <c:pt idx="5">
                  <c:v>-213.07</c:v>
                </c:pt>
              </c:numCache>
            </c:numRef>
          </c:xVal>
          <c:yVal>
            <c:numRef>
              <c:f>'X Ripple'!$Q$5:$Q$10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-277.79000000000002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1E-4C49-A286-119C7A030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Stance</a:t>
            </a:r>
            <a:r>
              <a:rPr lang="en-US" baseline="0"/>
              <a:t> -&gt; Swing S [1/6-&gt;1/3]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605375422101736E-2"/>
          <c:y val="2.3523236066079974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'X Ripple'!$C$4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 Ripple'!$B$5:$B$10</c:f>
              <c:numCache>
                <c:formatCode>General</c:formatCode>
                <c:ptCount val="6"/>
                <c:pt idx="0">
                  <c:v>199.32</c:v>
                </c:pt>
                <c:pt idx="1">
                  <c:v>-41.25</c:v>
                </c:pt>
                <c:pt idx="2">
                  <c:v>-281.82</c:v>
                </c:pt>
                <c:pt idx="3">
                  <c:v>-281.82</c:v>
                </c:pt>
                <c:pt idx="4">
                  <c:v>-41.25</c:v>
                </c:pt>
                <c:pt idx="5">
                  <c:v>199.32</c:v>
                </c:pt>
              </c:numCache>
            </c:numRef>
          </c:xVal>
          <c:yVal>
            <c:numRef>
              <c:f>'X Ripple'!$C$5:$C$10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AF-41BF-A3B8-CD535C2CC2B1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'X Ripple'!$E$5:$E$10</c:f>
              <c:numCache>
                <c:formatCode>General</c:formatCode>
                <c:ptCount val="6"/>
                <c:pt idx="0">
                  <c:v>281.82</c:v>
                </c:pt>
                <c:pt idx="1">
                  <c:v>41.25</c:v>
                </c:pt>
                <c:pt idx="2">
                  <c:v>-199.32</c:v>
                </c:pt>
                <c:pt idx="3">
                  <c:v>-199.32</c:v>
                </c:pt>
                <c:pt idx="4">
                  <c:v>41.25</c:v>
                </c:pt>
                <c:pt idx="5">
                  <c:v>281.82</c:v>
                </c:pt>
              </c:numCache>
            </c:numRef>
          </c:xVal>
          <c:yVal>
            <c:numRef>
              <c:f>'X Ripple'!$F$5:$F$10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AF-41BF-A3B8-CD535C2CC2B1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'X Ripple'!$H$5:$H$10</c:f>
              <c:numCache>
                <c:formatCode>General</c:formatCode>
                <c:ptCount val="6"/>
                <c:pt idx="0">
                  <c:v>240.57</c:v>
                </c:pt>
                <c:pt idx="1">
                  <c:v>0</c:v>
                </c:pt>
                <c:pt idx="2">
                  <c:v>-240.57</c:v>
                </c:pt>
                <c:pt idx="3">
                  <c:v>-240.57</c:v>
                </c:pt>
                <c:pt idx="4">
                  <c:v>0</c:v>
                </c:pt>
                <c:pt idx="5">
                  <c:v>240.57</c:v>
                </c:pt>
              </c:numCache>
            </c:numRef>
          </c:xVal>
          <c:yVal>
            <c:numRef>
              <c:f>'X Ripple'!$I$5:$I$10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AF-41BF-A3B8-CD535C2CC2B1}"/>
            </c:ext>
          </c:extLst>
        </c:ser>
        <c:ser>
          <c:idx val="3"/>
          <c:order val="3"/>
          <c:tx>
            <c:v>Rp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'X Ripple'!$AD$5:$AD$10</c:f>
              <c:numCache>
                <c:formatCode>General</c:formatCode>
                <c:ptCount val="6"/>
                <c:pt idx="0">
                  <c:v>268.07</c:v>
                </c:pt>
                <c:pt idx="1">
                  <c:v>41.25</c:v>
                </c:pt>
                <c:pt idx="2">
                  <c:v>-268.07</c:v>
                </c:pt>
                <c:pt idx="3">
                  <c:v>226.82</c:v>
                </c:pt>
                <c:pt idx="4">
                  <c:v>0</c:v>
                </c:pt>
                <c:pt idx="5">
                  <c:v>-226.82</c:v>
                </c:pt>
              </c:numCache>
            </c:numRef>
          </c:xVal>
          <c:yVal>
            <c:numRef>
              <c:f>'X Ripple'!$AE$5:$AE$10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-277.79000000000002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AF-41BF-A3B8-CD535C2CC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Stance</a:t>
            </a:r>
            <a:r>
              <a:rPr lang="en-US" baseline="0"/>
              <a:t> -&gt; Swing S [1/3-&gt;1/2]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605375422101736E-2"/>
          <c:y val="2.3523236066079974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'X Ripple'!$C$4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 Ripple'!$B$5:$B$10</c:f>
              <c:numCache>
                <c:formatCode>General</c:formatCode>
                <c:ptCount val="6"/>
                <c:pt idx="0">
                  <c:v>199.32</c:v>
                </c:pt>
                <c:pt idx="1">
                  <c:v>-41.25</c:v>
                </c:pt>
                <c:pt idx="2">
                  <c:v>-281.82</c:v>
                </c:pt>
                <c:pt idx="3">
                  <c:v>-281.82</c:v>
                </c:pt>
                <c:pt idx="4">
                  <c:v>-41.25</c:v>
                </c:pt>
                <c:pt idx="5">
                  <c:v>199.32</c:v>
                </c:pt>
              </c:numCache>
            </c:numRef>
          </c:xVal>
          <c:yVal>
            <c:numRef>
              <c:f>'X Ripple'!$C$5:$C$10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AC-428E-863E-C44B53280F51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'X Ripple'!$E$5:$E$10</c:f>
              <c:numCache>
                <c:formatCode>General</c:formatCode>
                <c:ptCount val="6"/>
                <c:pt idx="0">
                  <c:v>281.82</c:v>
                </c:pt>
                <c:pt idx="1">
                  <c:v>41.25</c:v>
                </c:pt>
                <c:pt idx="2">
                  <c:v>-199.32</c:v>
                </c:pt>
                <c:pt idx="3">
                  <c:v>-199.32</c:v>
                </c:pt>
                <c:pt idx="4">
                  <c:v>41.25</c:v>
                </c:pt>
                <c:pt idx="5">
                  <c:v>281.82</c:v>
                </c:pt>
              </c:numCache>
            </c:numRef>
          </c:xVal>
          <c:yVal>
            <c:numRef>
              <c:f>'X Ripple'!$F$5:$F$10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AC-428E-863E-C44B53280F51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'X Ripple'!$H$5:$H$10</c:f>
              <c:numCache>
                <c:formatCode>General</c:formatCode>
                <c:ptCount val="6"/>
                <c:pt idx="0">
                  <c:v>240.57</c:v>
                </c:pt>
                <c:pt idx="1">
                  <c:v>0</c:v>
                </c:pt>
                <c:pt idx="2">
                  <c:v>-240.57</c:v>
                </c:pt>
                <c:pt idx="3">
                  <c:v>-240.57</c:v>
                </c:pt>
                <c:pt idx="4">
                  <c:v>0</c:v>
                </c:pt>
                <c:pt idx="5">
                  <c:v>240.57</c:v>
                </c:pt>
              </c:numCache>
            </c:numRef>
          </c:xVal>
          <c:yVal>
            <c:numRef>
              <c:f>'X Ripple'!$I$5:$I$10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AC-428E-863E-C44B53280F51}"/>
            </c:ext>
          </c:extLst>
        </c:ser>
        <c:ser>
          <c:idx val="3"/>
          <c:order val="3"/>
          <c:tx>
            <c:v>RP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'X Ripple'!$AR$5:$AR$10</c:f>
              <c:numCache>
                <c:formatCode>General</c:formatCode>
                <c:ptCount val="6"/>
                <c:pt idx="0">
                  <c:v>254.32</c:v>
                </c:pt>
                <c:pt idx="1">
                  <c:v>27.5</c:v>
                </c:pt>
                <c:pt idx="2">
                  <c:v>-199.32</c:v>
                </c:pt>
                <c:pt idx="3">
                  <c:v>213.07</c:v>
                </c:pt>
                <c:pt idx="4">
                  <c:v>-13.75</c:v>
                </c:pt>
                <c:pt idx="5">
                  <c:v>-240.57</c:v>
                </c:pt>
              </c:numCache>
            </c:numRef>
          </c:xVal>
          <c:yVal>
            <c:numRef>
              <c:f>'X Ripple'!$AS$5:$AS$10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-277.79000000000002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AC-428E-863E-C44B53280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Stance</a:t>
            </a:r>
            <a:r>
              <a:rPr lang="en-US" baseline="0"/>
              <a:t> -&gt; Swing S [1/2-&gt;2/3]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605375422101736E-2"/>
          <c:y val="2.3523236066079974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'X Ripple'!$C$4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 Ripple'!$B$5:$B$10</c:f>
              <c:numCache>
                <c:formatCode>General</c:formatCode>
                <c:ptCount val="6"/>
                <c:pt idx="0">
                  <c:v>199.32</c:v>
                </c:pt>
                <c:pt idx="1">
                  <c:v>-41.25</c:v>
                </c:pt>
                <c:pt idx="2">
                  <c:v>-281.82</c:v>
                </c:pt>
                <c:pt idx="3">
                  <c:v>-281.82</c:v>
                </c:pt>
                <c:pt idx="4">
                  <c:v>-41.25</c:v>
                </c:pt>
                <c:pt idx="5">
                  <c:v>199.32</c:v>
                </c:pt>
              </c:numCache>
            </c:numRef>
          </c:xVal>
          <c:yVal>
            <c:numRef>
              <c:f>'X Ripple'!$C$5:$C$10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C5-4B3A-AABA-E24C4809D6A3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'X Ripple'!$E$5:$E$10</c:f>
              <c:numCache>
                <c:formatCode>General</c:formatCode>
                <c:ptCount val="6"/>
                <c:pt idx="0">
                  <c:v>281.82</c:v>
                </c:pt>
                <c:pt idx="1">
                  <c:v>41.25</c:v>
                </c:pt>
                <c:pt idx="2">
                  <c:v>-199.32</c:v>
                </c:pt>
                <c:pt idx="3">
                  <c:v>-199.32</c:v>
                </c:pt>
                <c:pt idx="4">
                  <c:v>41.25</c:v>
                </c:pt>
                <c:pt idx="5">
                  <c:v>281.82</c:v>
                </c:pt>
              </c:numCache>
            </c:numRef>
          </c:xVal>
          <c:yVal>
            <c:numRef>
              <c:f>'X Ripple'!$F$5:$F$10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C5-4B3A-AABA-E24C4809D6A3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'X Ripple'!$H$5:$H$10</c:f>
              <c:numCache>
                <c:formatCode>General</c:formatCode>
                <c:ptCount val="6"/>
                <c:pt idx="0">
                  <c:v>240.57</c:v>
                </c:pt>
                <c:pt idx="1">
                  <c:v>0</c:v>
                </c:pt>
                <c:pt idx="2">
                  <c:v>-240.57</c:v>
                </c:pt>
                <c:pt idx="3">
                  <c:v>-240.57</c:v>
                </c:pt>
                <c:pt idx="4">
                  <c:v>0</c:v>
                </c:pt>
                <c:pt idx="5">
                  <c:v>240.57</c:v>
                </c:pt>
              </c:numCache>
            </c:numRef>
          </c:xVal>
          <c:yVal>
            <c:numRef>
              <c:f>'X Ripple'!$I$5:$I$10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C5-4B3A-AABA-E24C4809D6A3}"/>
            </c:ext>
          </c:extLst>
        </c:ser>
        <c:ser>
          <c:idx val="3"/>
          <c:order val="3"/>
          <c:tx>
            <c:v>Rp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'X Ripple'!$BF$5:$BF$10</c:f>
              <c:numCache>
                <c:formatCode>General</c:formatCode>
                <c:ptCount val="6"/>
                <c:pt idx="0">
                  <c:v>240.57</c:v>
                </c:pt>
                <c:pt idx="1">
                  <c:v>13.75</c:v>
                </c:pt>
                <c:pt idx="2">
                  <c:v>-213.07</c:v>
                </c:pt>
                <c:pt idx="3">
                  <c:v>281.82</c:v>
                </c:pt>
                <c:pt idx="4">
                  <c:v>-27.5</c:v>
                </c:pt>
                <c:pt idx="5">
                  <c:v>-254.32</c:v>
                </c:pt>
              </c:numCache>
            </c:numRef>
          </c:xVal>
          <c:yVal>
            <c:numRef>
              <c:f>'X Ripple'!$BG$5:$BG$10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-277.79000000000002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C5-4B3A-AABA-E24C4809D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Stance</a:t>
            </a:r>
            <a:r>
              <a:rPr lang="en-US" baseline="0"/>
              <a:t> -&gt; Swing S [5/6-&gt;1]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59734361108313E-2"/>
          <c:y val="2.9556418569850716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'X Ripple'!$C$4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 Ripple'!$B$5:$B$10</c:f>
              <c:numCache>
                <c:formatCode>General</c:formatCode>
                <c:ptCount val="6"/>
                <c:pt idx="0">
                  <c:v>199.32</c:v>
                </c:pt>
                <c:pt idx="1">
                  <c:v>-41.25</c:v>
                </c:pt>
                <c:pt idx="2">
                  <c:v>-281.82</c:v>
                </c:pt>
                <c:pt idx="3">
                  <c:v>-281.82</c:v>
                </c:pt>
                <c:pt idx="4">
                  <c:v>-41.25</c:v>
                </c:pt>
                <c:pt idx="5">
                  <c:v>199.32</c:v>
                </c:pt>
              </c:numCache>
            </c:numRef>
          </c:xVal>
          <c:yVal>
            <c:numRef>
              <c:f>'X Ripple'!$C$5:$C$10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18-42F5-BE8B-9A44267F88AE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'X Ripple'!$E$5:$E$10</c:f>
              <c:numCache>
                <c:formatCode>General</c:formatCode>
                <c:ptCount val="6"/>
                <c:pt idx="0">
                  <c:v>281.82</c:v>
                </c:pt>
                <c:pt idx="1">
                  <c:v>41.25</c:v>
                </c:pt>
                <c:pt idx="2">
                  <c:v>-199.32</c:v>
                </c:pt>
                <c:pt idx="3">
                  <c:v>-199.32</c:v>
                </c:pt>
                <c:pt idx="4">
                  <c:v>41.25</c:v>
                </c:pt>
                <c:pt idx="5">
                  <c:v>281.82</c:v>
                </c:pt>
              </c:numCache>
            </c:numRef>
          </c:xVal>
          <c:yVal>
            <c:numRef>
              <c:f>'X Ripple'!$F$5:$F$10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18-42F5-BE8B-9A44267F88AE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'X Ripple'!$H$5:$H$10</c:f>
              <c:numCache>
                <c:formatCode>General</c:formatCode>
                <c:ptCount val="6"/>
                <c:pt idx="0">
                  <c:v>240.57</c:v>
                </c:pt>
                <c:pt idx="1">
                  <c:v>0</c:v>
                </c:pt>
                <c:pt idx="2">
                  <c:v>-240.57</c:v>
                </c:pt>
                <c:pt idx="3">
                  <c:v>-240.57</c:v>
                </c:pt>
                <c:pt idx="4">
                  <c:v>0</c:v>
                </c:pt>
                <c:pt idx="5">
                  <c:v>240.57</c:v>
                </c:pt>
              </c:numCache>
            </c:numRef>
          </c:xVal>
          <c:yVal>
            <c:numRef>
              <c:f>'X Ripple'!$I$5:$I$10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18-42F5-BE8B-9A44267F88AE}"/>
            </c:ext>
          </c:extLst>
        </c:ser>
        <c:ser>
          <c:idx val="3"/>
          <c:order val="3"/>
          <c:tx>
            <c:v>Rp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'X Ripple'!$CH$5:$CH$10</c:f>
              <c:numCache>
                <c:formatCode>General</c:formatCode>
                <c:ptCount val="6"/>
                <c:pt idx="0">
                  <c:v>213.07</c:v>
                </c:pt>
                <c:pt idx="1">
                  <c:v>-13.75</c:v>
                </c:pt>
                <c:pt idx="2">
                  <c:v>-240.57</c:v>
                </c:pt>
                <c:pt idx="3">
                  <c:v>254.32</c:v>
                </c:pt>
                <c:pt idx="4">
                  <c:v>27.5</c:v>
                </c:pt>
                <c:pt idx="5">
                  <c:v>-199.32</c:v>
                </c:pt>
              </c:numCache>
            </c:numRef>
          </c:xVal>
          <c:yVal>
            <c:numRef>
              <c:f>'X Ripple'!$CI$5:$CI$10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-277.79000000000002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18-42F5-BE8B-9A44267F8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Stance</a:t>
            </a:r>
            <a:r>
              <a:rPr lang="en-US" baseline="0"/>
              <a:t> -&gt; Swing S [2/3-&gt;5/6]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605375422101736E-2"/>
          <c:y val="2.3523236066079974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'X Ripple'!$C$4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 Ripple'!$B$5:$B$10</c:f>
              <c:numCache>
                <c:formatCode>General</c:formatCode>
                <c:ptCount val="6"/>
                <c:pt idx="0">
                  <c:v>199.32</c:v>
                </c:pt>
                <c:pt idx="1">
                  <c:v>-41.25</c:v>
                </c:pt>
                <c:pt idx="2">
                  <c:v>-281.82</c:v>
                </c:pt>
                <c:pt idx="3">
                  <c:v>-281.82</c:v>
                </c:pt>
                <c:pt idx="4">
                  <c:v>-41.25</c:v>
                </c:pt>
                <c:pt idx="5">
                  <c:v>199.32</c:v>
                </c:pt>
              </c:numCache>
            </c:numRef>
          </c:xVal>
          <c:yVal>
            <c:numRef>
              <c:f>'X Ripple'!$C$5:$C$10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C5-4235-A954-CDDE2B2309FA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'X Ripple'!$E$5:$E$10</c:f>
              <c:numCache>
                <c:formatCode>General</c:formatCode>
                <c:ptCount val="6"/>
                <c:pt idx="0">
                  <c:v>281.82</c:v>
                </c:pt>
                <c:pt idx="1">
                  <c:v>41.25</c:v>
                </c:pt>
                <c:pt idx="2">
                  <c:v>-199.32</c:v>
                </c:pt>
                <c:pt idx="3">
                  <c:v>-199.32</c:v>
                </c:pt>
                <c:pt idx="4">
                  <c:v>41.25</c:v>
                </c:pt>
                <c:pt idx="5">
                  <c:v>281.82</c:v>
                </c:pt>
              </c:numCache>
            </c:numRef>
          </c:xVal>
          <c:yVal>
            <c:numRef>
              <c:f>'X Ripple'!$F$5:$F$10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C5-4235-A954-CDDE2B2309FA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'X Ripple'!$H$5:$H$10</c:f>
              <c:numCache>
                <c:formatCode>General</c:formatCode>
                <c:ptCount val="6"/>
                <c:pt idx="0">
                  <c:v>240.57</c:v>
                </c:pt>
                <c:pt idx="1">
                  <c:v>0</c:v>
                </c:pt>
                <c:pt idx="2">
                  <c:v>-240.57</c:v>
                </c:pt>
                <c:pt idx="3">
                  <c:v>-240.57</c:v>
                </c:pt>
                <c:pt idx="4">
                  <c:v>0</c:v>
                </c:pt>
                <c:pt idx="5">
                  <c:v>240.57</c:v>
                </c:pt>
              </c:numCache>
            </c:numRef>
          </c:xVal>
          <c:yVal>
            <c:numRef>
              <c:f>'X Ripple'!$I$5:$I$10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C5-4235-A954-CDDE2B2309FA}"/>
            </c:ext>
          </c:extLst>
        </c:ser>
        <c:ser>
          <c:idx val="3"/>
          <c:order val="3"/>
          <c:tx>
            <c:v>Rp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'X Ripple'!$BT$5:$BT$10</c:f>
              <c:numCache>
                <c:formatCode>General</c:formatCode>
                <c:ptCount val="6"/>
                <c:pt idx="0">
                  <c:v>226.82</c:v>
                </c:pt>
                <c:pt idx="1">
                  <c:v>0</c:v>
                </c:pt>
                <c:pt idx="2">
                  <c:v>-226.82</c:v>
                </c:pt>
                <c:pt idx="3">
                  <c:v>268.07</c:v>
                </c:pt>
                <c:pt idx="4">
                  <c:v>41.25</c:v>
                </c:pt>
                <c:pt idx="5">
                  <c:v>-268.07</c:v>
                </c:pt>
              </c:numCache>
            </c:numRef>
          </c:xVal>
          <c:yVal>
            <c:numRef>
              <c:f>'X Ripple'!$BU$5:$BU$10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-277.79000000000002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C5-4235-A954-CDDE2B230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Stance</a:t>
            </a:r>
            <a:r>
              <a:rPr lang="en-US" baseline="0"/>
              <a:t> -&gt; Swing S [0,1]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605375422101736E-2"/>
          <c:y val="2.3523236066079974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'X Ripple 15'!$C$4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 Ripple 15'!$B$5:$B$10</c:f>
              <c:numCache>
                <c:formatCode>General</c:formatCode>
                <c:ptCount val="6"/>
                <c:pt idx="0">
                  <c:v>199.32</c:v>
                </c:pt>
                <c:pt idx="1">
                  <c:v>-41.25</c:v>
                </c:pt>
                <c:pt idx="2">
                  <c:v>-281.82</c:v>
                </c:pt>
                <c:pt idx="3">
                  <c:v>-281.82</c:v>
                </c:pt>
                <c:pt idx="4">
                  <c:v>-41.25</c:v>
                </c:pt>
                <c:pt idx="5">
                  <c:v>199.32</c:v>
                </c:pt>
              </c:numCache>
            </c:numRef>
          </c:xVal>
          <c:yVal>
            <c:numRef>
              <c:f>'X Ripple 15'!$C$5:$C$10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18-4231-B868-2DB835D9483D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'X Ripple 15'!$E$5:$E$10</c:f>
              <c:numCache>
                <c:formatCode>General</c:formatCode>
                <c:ptCount val="6"/>
                <c:pt idx="0">
                  <c:v>281.82</c:v>
                </c:pt>
                <c:pt idx="1">
                  <c:v>41.25</c:v>
                </c:pt>
                <c:pt idx="2">
                  <c:v>-199.32</c:v>
                </c:pt>
                <c:pt idx="3">
                  <c:v>-199.32</c:v>
                </c:pt>
                <c:pt idx="4">
                  <c:v>41.25</c:v>
                </c:pt>
                <c:pt idx="5">
                  <c:v>281.82</c:v>
                </c:pt>
              </c:numCache>
            </c:numRef>
          </c:xVal>
          <c:yVal>
            <c:numRef>
              <c:f>'X Ripple 15'!$F$5:$F$10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18-4231-B868-2DB835D9483D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'X Ripple 15'!$H$5:$H$10</c:f>
              <c:numCache>
                <c:formatCode>General</c:formatCode>
                <c:ptCount val="6"/>
                <c:pt idx="0">
                  <c:v>240.57</c:v>
                </c:pt>
                <c:pt idx="1">
                  <c:v>0</c:v>
                </c:pt>
                <c:pt idx="2">
                  <c:v>-240.57</c:v>
                </c:pt>
                <c:pt idx="3">
                  <c:v>-240.57</c:v>
                </c:pt>
                <c:pt idx="4">
                  <c:v>0</c:v>
                </c:pt>
                <c:pt idx="5">
                  <c:v>240.57</c:v>
                </c:pt>
              </c:numCache>
            </c:numRef>
          </c:xVal>
          <c:yVal>
            <c:numRef>
              <c:f>'X Ripple 15'!$I$5:$I$10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18-4231-B868-2DB835D94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Stance</a:t>
            </a:r>
            <a:r>
              <a:rPr lang="en-US" baseline="0"/>
              <a:t> -&gt; Swing S [0,1/6]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605375422101736E-2"/>
          <c:y val="2.3523236066079974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'X Ripple 15'!$C$4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 Ripple 15'!$B$5:$B$10</c:f>
              <c:numCache>
                <c:formatCode>General</c:formatCode>
                <c:ptCount val="6"/>
                <c:pt idx="0">
                  <c:v>199.32</c:v>
                </c:pt>
                <c:pt idx="1">
                  <c:v>-41.25</c:v>
                </c:pt>
                <c:pt idx="2">
                  <c:v>-281.82</c:v>
                </c:pt>
                <c:pt idx="3">
                  <c:v>-281.82</c:v>
                </c:pt>
                <c:pt idx="4">
                  <c:v>-41.25</c:v>
                </c:pt>
                <c:pt idx="5">
                  <c:v>199.32</c:v>
                </c:pt>
              </c:numCache>
            </c:numRef>
          </c:xVal>
          <c:yVal>
            <c:numRef>
              <c:f>'X Ripple 15'!$C$5:$C$10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04-4217-B44D-9F6E84B3DF27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'X Ripple 15'!$E$5:$E$10</c:f>
              <c:numCache>
                <c:formatCode>General</c:formatCode>
                <c:ptCount val="6"/>
                <c:pt idx="0">
                  <c:v>281.82</c:v>
                </c:pt>
                <c:pt idx="1">
                  <c:v>41.25</c:v>
                </c:pt>
                <c:pt idx="2">
                  <c:v>-199.32</c:v>
                </c:pt>
                <c:pt idx="3">
                  <c:v>-199.32</c:v>
                </c:pt>
                <c:pt idx="4">
                  <c:v>41.25</c:v>
                </c:pt>
                <c:pt idx="5">
                  <c:v>281.82</c:v>
                </c:pt>
              </c:numCache>
            </c:numRef>
          </c:xVal>
          <c:yVal>
            <c:numRef>
              <c:f>'X Ripple 15'!$F$5:$F$10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04-4217-B44D-9F6E84B3DF27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'X Ripple 15'!$H$5:$H$10</c:f>
              <c:numCache>
                <c:formatCode>General</c:formatCode>
                <c:ptCount val="6"/>
                <c:pt idx="0">
                  <c:v>240.57</c:v>
                </c:pt>
                <c:pt idx="1">
                  <c:v>0</c:v>
                </c:pt>
                <c:pt idx="2">
                  <c:v>-240.57</c:v>
                </c:pt>
                <c:pt idx="3">
                  <c:v>-240.57</c:v>
                </c:pt>
                <c:pt idx="4">
                  <c:v>0</c:v>
                </c:pt>
                <c:pt idx="5">
                  <c:v>240.57</c:v>
                </c:pt>
              </c:numCache>
            </c:numRef>
          </c:xVal>
          <c:yVal>
            <c:numRef>
              <c:f>'X Ripple 15'!$I$5:$I$10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04-4217-B44D-9F6E84B3DF27}"/>
            </c:ext>
          </c:extLst>
        </c:ser>
        <c:ser>
          <c:idx val="3"/>
          <c:order val="3"/>
          <c:tx>
            <c:v>Rp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'X Ripple 15'!$P$5:$P$10</c:f>
              <c:numCache>
                <c:formatCode>General</c:formatCode>
                <c:ptCount val="6"/>
                <c:pt idx="0">
                  <c:v>281.82</c:v>
                </c:pt>
                <c:pt idx="1">
                  <c:v>-41.25</c:v>
                </c:pt>
                <c:pt idx="2">
                  <c:v>-265.32</c:v>
                </c:pt>
                <c:pt idx="3">
                  <c:v>232.32</c:v>
                </c:pt>
                <c:pt idx="4">
                  <c:v>8.25</c:v>
                </c:pt>
                <c:pt idx="5">
                  <c:v>-215.82</c:v>
                </c:pt>
              </c:numCache>
            </c:numRef>
          </c:xVal>
          <c:yVal>
            <c:numRef>
              <c:f>'X Ripple 15'!$Q$5:$Q$10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-277.79000000000002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04-4217-B44D-9F6E84B3D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Stance</a:t>
            </a:r>
            <a:r>
              <a:rPr lang="en-US" baseline="0"/>
              <a:t> -&gt; Swing S [1/6-&gt;1/3]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605375422101736E-2"/>
          <c:y val="2.3523236066079974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'X Ripple 15'!$C$4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 Ripple 15'!$B$5:$B$10</c:f>
              <c:numCache>
                <c:formatCode>General</c:formatCode>
                <c:ptCount val="6"/>
                <c:pt idx="0">
                  <c:v>199.32</c:v>
                </c:pt>
                <c:pt idx="1">
                  <c:v>-41.25</c:v>
                </c:pt>
                <c:pt idx="2">
                  <c:v>-281.82</c:v>
                </c:pt>
                <c:pt idx="3">
                  <c:v>-281.82</c:v>
                </c:pt>
                <c:pt idx="4">
                  <c:v>-41.25</c:v>
                </c:pt>
                <c:pt idx="5">
                  <c:v>199.32</c:v>
                </c:pt>
              </c:numCache>
            </c:numRef>
          </c:xVal>
          <c:yVal>
            <c:numRef>
              <c:f>'X Ripple 15'!$C$5:$C$10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37-44B7-A50A-BBACA6C6FD35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'X Ripple 15'!$E$5:$E$10</c:f>
              <c:numCache>
                <c:formatCode>General</c:formatCode>
                <c:ptCount val="6"/>
                <c:pt idx="0">
                  <c:v>281.82</c:v>
                </c:pt>
                <c:pt idx="1">
                  <c:v>41.25</c:v>
                </c:pt>
                <c:pt idx="2">
                  <c:v>-199.32</c:v>
                </c:pt>
                <c:pt idx="3">
                  <c:v>-199.32</c:v>
                </c:pt>
                <c:pt idx="4">
                  <c:v>41.25</c:v>
                </c:pt>
                <c:pt idx="5">
                  <c:v>281.82</c:v>
                </c:pt>
              </c:numCache>
            </c:numRef>
          </c:xVal>
          <c:yVal>
            <c:numRef>
              <c:f>'X Ripple 15'!$F$5:$F$10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37-44B7-A50A-BBACA6C6FD35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'X Ripple 15'!$H$5:$H$10</c:f>
              <c:numCache>
                <c:formatCode>General</c:formatCode>
                <c:ptCount val="6"/>
                <c:pt idx="0">
                  <c:v>240.57</c:v>
                </c:pt>
                <c:pt idx="1">
                  <c:v>0</c:v>
                </c:pt>
                <c:pt idx="2">
                  <c:v>-240.57</c:v>
                </c:pt>
                <c:pt idx="3">
                  <c:v>-240.57</c:v>
                </c:pt>
                <c:pt idx="4">
                  <c:v>0</c:v>
                </c:pt>
                <c:pt idx="5">
                  <c:v>240.57</c:v>
                </c:pt>
              </c:numCache>
            </c:numRef>
          </c:xVal>
          <c:yVal>
            <c:numRef>
              <c:f>'X Ripple 15'!$I$5:$I$10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37-44B7-A50A-BBACA6C6FD35}"/>
            </c:ext>
          </c:extLst>
        </c:ser>
        <c:ser>
          <c:idx val="3"/>
          <c:order val="3"/>
          <c:tx>
            <c:v>Rp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'X Ripple 15'!$AD$5:$AD$10</c:f>
              <c:numCache>
                <c:formatCode>General</c:formatCode>
                <c:ptCount val="6"/>
                <c:pt idx="0">
                  <c:v>265.32</c:v>
                </c:pt>
                <c:pt idx="1">
                  <c:v>41.25</c:v>
                </c:pt>
                <c:pt idx="2">
                  <c:v>-281.82</c:v>
                </c:pt>
                <c:pt idx="3">
                  <c:v>215.82</c:v>
                </c:pt>
                <c:pt idx="4">
                  <c:v>-8.25</c:v>
                </c:pt>
                <c:pt idx="5">
                  <c:v>-232.32</c:v>
                </c:pt>
              </c:numCache>
            </c:numRef>
          </c:xVal>
          <c:yVal>
            <c:numRef>
              <c:f>'X Ripple 15'!$AE$5:$AE$10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-277.79000000000002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37-44B7-A50A-BBACA6C6F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Stance</a:t>
            </a:r>
            <a:r>
              <a:rPr lang="en-US" baseline="0"/>
              <a:t> -&gt; Swing S [1/3-&gt;1/2]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605375422101736E-2"/>
          <c:y val="2.3523236066079974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'X Ripple 15'!$C$4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 Ripple 15'!$B$5:$B$10</c:f>
              <c:numCache>
                <c:formatCode>General</c:formatCode>
                <c:ptCount val="6"/>
                <c:pt idx="0">
                  <c:v>199.32</c:v>
                </c:pt>
                <c:pt idx="1">
                  <c:v>-41.25</c:v>
                </c:pt>
                <c:pt idx="2">
                  <c:v>-281.82</c:v>
                </c:pt>
                <c:pt idx="3">
                  <c:v>-281.82</c:v>
                </c:pt>
                <c:pt idx="4">
                  <c:v>-41.25</c:v>
                </c:pt>
                <c:pt idx="5">
                  <c:v>199.32</c:v>
                </c:pt>
              </c:numCache>
            </c:numRef>
          </c:xVal>
          <c:yVal>
            <c:numRef>
              <c:f>'X Ripple 15'!$C$5:$C$10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B7-488B-88F9-5300EC0ED2EE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'X Ripple 15'!$E$5:$E$10</c:f>
              <c:numCache>
                <c:formatCode>General</c:formatCode>
                <c:ptCount val="6"/>
                <c:pt idx="0">
                  <c:v>281.82</c:v>
                </c:pt>
                <c:pt idx="1">
                  <c:v>41.25</c:v>
                </c:pt>
                <c:pt idx="2">
                  <c:v>-199.32</c:v>
                </c:pt>
                <c:pt idx="3">
                  <c:v>-199.32</c:v>
                </c:pt>
                <c:pt idx="4">
                  <c:v>41.25</c:v>
                </c:pt>
                <c:pt idx="5">
                  <c:v>281.82</c:v>
                </c:pt>
              </c:numCache>
            </c:numRef>
          </c:xVal>
          <c:yVal>
            <c:numRef>
              <c:f>'X Ripple 15'!$F$5:$F$10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B7-488B-88F9-5300EC0ED2EE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'X Ripple 15'!$H$5:$H$10</c:f>
              <c:numCache>
                <c:formatCode>General</c:formatCode>
                <c:ptCount val="6"/>
                <c:pt idx="0">
                  <c:v>240.57</c:v>
                </c:pt>
                <c:pt idx="1">
                  <c:v>0</c:v>
                </c:pt>
                <c:pt idx="2">
                  <c:v>-240.57</c:v>
                </c:pt>
                <c:pt idx="3">
                  <c:v>-240.57</c:v>
                </c:pt>
                <c:pt idx="4">
                  <c:v>0</c:v>
                </c:pt>
                <c:pt idx="5">
                  <c:v>240.57</c:v>
                </c:pt>
              </c:numCache>
            </c:numRef>
          </c:xVal>
          <c:yVal>
            <c:numRef>
              <c:f>'X Ripple 15'!$I$5:$I$10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B7-488B-88F9-5300EC0ED2EE}"/>
            </c:ext>
          </c:extLst>
        </c:ser>
        <c:ser>
          <c:idx val="3"/>
          <c:order val="3"/>
          <c:tx>
            <c:v>RP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'X Ripple 15'!$AR$5:$AR$10</c:f>
              <c:numCache>
                <c:formatCode>General</c:formatCode>
                <c:ptCount val="6"/>
                <c:pt idx="0">
                  <c:v>248.82</c:v>
                </c:pt>
                <c:pt idx="1">
                  <c:v>24.75</c:v>
                </c:pt>
                <c:pt idx="2">
                  <c:v>-199.32</c:v>
                </c:pt>
                <c:pt idx="3">
                  <c:v>199.32</c:v>
                </c:pt>
                <c:pt idx="4">
                  <c:v>-24.75</c:v>
                </c:pt>
                <c:pt idx="5">
                  <c:v>-248.82</c:v>
                </c:pt>
              </c:numCache>
            </c:numRef>
          </c:xVal>
          <c:yVal>
            <c:numRef>
              <c:f>'X Ripple 15'!$AS$5:$AS$10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-277.79000000000002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B7-488B-88F9-5300EC0ED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Stance</a:t>
            </a:r>
            <a:r>
              <a:rPr lang="en-US" baseline="0"/>
              <a:t> -&gt; Swing S [1/2-&gt;2/3]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605375422101736E-2"/>
          <c:y val="2.3523236066079974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'X Ripple 15'!$C$4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 Ripple 15'!$B$5:$B$10</c:f>
              <c:numCache>
                <c:formatCode>General</c:formatCode>
                <c:ptCount val="6"/>
                <c:pt idx="0">
                  <c:v>199.32</c:v>
                </c:pt>
                <c:pt idx="1">
                  <c:v>-41.25</c:v>
                </c:pt>
                <c:pt idx="2">
                  <c:v>-281.82</c:v>
                </c:pt>
                <c:pt idx="3">
                  <c:v>-281.82</c:v>
                </c:pt>
                <c:pt idx="4">
                  <c:v>-41.25</c:v>
                </c:pt>
                <c:pt idx="5">
                  <c:v>199.32</c:v>
                </c:pt>
              </c:numCache>
            </c:numRef>
          </c:xVal>
          <c:yVal>
            <c:numRef>
              <c:f>'X Ripple 15'!$C$5:$C$10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D6-466B-9551-FABFD7B5528E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'X Ripple 15'!$E$5:$E$10</c:f>
              <c:numCache>
                <c:formatCode>General</c:formatCode>
                <c:ptCount val="6"/>
                <c:pt idx="0">
                  <c:v>281.82</c:v>
                </c:pt>
                <c:pt idx="1">
                  <c:v>41.25</c:v>
                </c:pt>
                <c:pt idx="2">
                  <c:v>-199.32</c:v>
                </c:pt>
                <c:pt idx="3">
                  <c:v>-199.32</c:v>
                </c:pt>
                <c:pt idx="4">
                  <c:v>41.25</c:v>
                </c:pt>
                <c:pt idx="5">
                  <c:v>281.82</c:v>
                </c:pt>
              </c:numCache>
            </c:numRef>
          </c:xVal>
          <c:yVal>
            <c:numRef>
              <c:f>'X Ripple 15'!$F$5:$F$10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D6-466B-9551-FABFD7B5528E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'X Ripple 15'!$H$5:$H$10</c:f>
              <c:numCache>
                <c:formatCode>General</c:formatCode>
                <c:ptCount val="6"/>
                <c:pt idx="0">
                  <c:v>240.57</c:v>
                </c:pt>
                <c:pt idx="1">
                  <c:v>0</c:v>
                </c:pt>
                <c:pt idx="2">
                  <c:v>-240.57</c:v>
                </c:pt>
                <c:pt idx="3">
                  <c:v>-240.57</c:v>
                </c:pt>
                <c:pt idx="4">
                  <c:v>0</c:v>
                </c:pt>
                <c:pt idx="5">
                  <c:v>240.57</c:v>
                </c:pt>
              </c:numCache>
            </c:numRef>
          </c:xVal>
          <c:yVal>
            <c:numRef>
              <c:f>'X Ripple 15'!$I$5:$I$10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D6-466B-9551-FABFD7B5528E}"/>
            </c:ext>
          </c:extLst>
        </c:ser>
        <c:ser>
          <c:idx val="3"/>
          <c:order val="3"/>
          <c:tx>
            <c:v>Rp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'X Ripple 15'!$BF$5:$BF$10</c:f>
              <c:numCache>
                <c:formatCode>General</c:formatCode>
                <c:ptCount val="6"/>
                <c:pt idx="0">
                  <c:v>232.32</c:v>
                </c:pt>
                <c:pt idx="1">
                  <c:v>8.25</c:v>
                </c:pt>
                <c:pt idx="2">
                  <c:v>-215.82</c:v>
                </c:pt>
                <c:pt idx="3">
                  <c:v>281.82</c:v>
                </c:pt>
                <c:pt idx="4">
                  <c:v>-41.25</c:v>
                </c:pt>
                <c:pt idx="5">
                  <c:v>-265.32</c:v>
                </c:pt>
              </c:numCache>
            </c:numRef>
          </c:xVal>
          <c:yVal>
            <c:numRef>
              <c:f>'X Ripple 15'!$BG$5:$BG$10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-277.79000000000002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D6-466B-9551-FABFD7B55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Stance</a:t>
            </a:r>
            <a:r>
              <a:rPr lang="en-US" baseline="0"/>
              <a:t> -&gt; Swing S [5/6-&gt;1]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59734361108313E-2"/>
          <c:y val="2.9556418569850716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'X Ripple 15'!$C$4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 Ripple 15'!$B$5:$B$10</c:f>
              <c:numCache>
                <c:formatCode>General</c:formatCode>
                <c:ptCount val="6"/>
                <c:pt idx="0">
                  <c:v>199.32</c:v>
                </c:pt>
                <c:pt idx="1">
                  <c:v>-41.25</c:v>
                </c:pt>
                <c:pt idx="2">
                  <c:v>-281.82</c:v>
                </c:pt>
                <c:pt idx="3">
                  <c:v>-281.82</c:v>
                </c:pt>
                <c:pt idx="4">
                  <c:v>-41.25</c:v>
                </c:pt>
                <c:pt idx="5">
                  <c:v>199.32</c:v>
                </c:pt>
              </c:numCache>
            </c:numRef>
          </c:xVal>
          <c:yVal>
            <c:numRef>
              <c:f>'X Ripple 15'!$C$5:$C$10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07-47F8-8CE7-9041253E2419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'X Ripple 15'!$E$5:$E$10</c:f>
              <c:numCache>
                <c:formatCode>General</c:formatCode>
                <c:ptCount val="6"/>
                <c:pt idx="0">
                  <c:v>281.82</c:v>
                </c:pt>
                <c:pt idx="1">
                  <c:v>41.25</c:v>
                </c:pt>
                <c:pt idx="2">
                  <c:v>-199.32</c:v>
                </c:pt>
                <c:pt idx="3">
                  <c:v>-199.32</c:v>
                </c:pt>
                <c:pt idx="4">
                  <c:v>41.25</c:v>
                </c:pt>
                <c:pt idx="5">
                  <c:v>281.82</c:v>
                </c:pt>
              </c:numCache>
            </c:numRef>
          </c:xVal>
          <c:yVal>
            <c:numRef>
              <c:f>'X Ripple 15'!$F$5:$F$10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07-47F8-8CE7-9041253E2419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'X Ripple 15'!$H$5:$H$10</c:f>
              <c:numCache>
                <c:formatCode>General</c:formatCode>
                <c:ptCount val="6"/>
                <c:pt idx="0">
                  <c:v>240.57</c:v>
                </c:pt>
                <c:pt idx="1">
                  <c:v>0</c:v>
                </c:pt>
                <c:pt idx="2">
                  <c:v>-240.57</c:v>
                </c:pt>
                <c:pt idx="3">
                  <c:v>-240.57</c:v>
                </c:pt>
                <c:pt idx="4">
                  <c:v>0</c:v>
                </c:pt>
                <c:pt idx="5">
                  <c:v>240.57</c:v>
                </c:pt>
              </c:numCache>
            </c:numRef>
          </c:xVal>
          <c:yVal>
            <c:numRef>
              <c:f>'X Ripple 15'!$I$5:$I$10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07-47F8-8CE7-9041253E2419}"/>
            </c:ext>
          </c:extLst>
        </c:ser>
        <c:ser>
          <c:idx val="3"/>
          <c:order val="3"/>
          <c:tx>
            <c:v>Rp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'X Ripple 15'!$CH$5:$CH$10</c:f>
              <c:numCache>
                <c:formatCode>General</c:formatCode>
                <c:ptCount val="6"/>
                <c:pt idx="0">
                  <c:v>199.32</c:v>
                </c:pt>
                <c:pt idx="1">
                  <c:v>-24.75</c:v>
                </c:pt>
                <c:pt idx="2">
                  <c:v>-248.82</c:v>
                </c:pt>
                <c:pt idx="3">
                  <c:v>248.82</c:v>
                </c:pt>
                <c:pt idx="4">
                  <c:v>24.75</c:v>
                </c:pt>
                <c:pt idx="5">
                  <c:v>-199.32</c:v>
                </c:pt>
              </c:numCache>
            </c:numRef>
          </c:xVal>
          <c:yVal>
            <c:numRef>
              <c:f>'X Ripple 15'!$CI$5:$CI$10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-277.79000000000002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07-47F8-8CE7-9041253E2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Stance</a:t>
            </a:r>
            <a:r>
              <a:rPr lang="en-US" baseline="0"/>
              <a:t> -&gt; Swing S [2/3-&gt;5/6]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605375422101736E-2"/>
          <c:y val="2.3523236066079974E-2"/>
          <c:w val="0.93042691546865974"/>
          <c:h val="0.898655122860773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'X Ripple 15'!$C$4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 Ripple 15'!$B$5:$B$10</c:f>
              <c:numCache>
                <c:formatCode>General</c:formatCode>
                <c:ptCount val="6"/>
                <c:pt idx="0">
                  <c:v>199.32</c:v>
                </c:pt>
                <c:pt idx="1">
                  <c:v>-41.25</c:v>
                </c:pt>
                <c:pt idx="2">
                  <c:v>-281.82</c:v>
                </c:pt>
                <c:pt idx="3">
                  <c:v>-281.82</c:v>
                </c:pt>
                <c:pt idx="4">
                  <c:v>-41.25</c:v>
                </c:pt>
                <c:pt idx="5">
                  <c:v>199.32</c:v>
                </c:pt>
              </c:numCache>
            </c:numRef>
          </c:xVal>
          <c:yVal>
            <c:numRef>
              <c:f>'X Ripple 15'!$C$5:$C$10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87-455C-B5E7-6853803F66B1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'X Ripple 15'!$E$5:$E$10</c:f>
              <c:numCache>
                <c:formatCode>General</c:formatCode>
                <c:ptCount val="6"/>
                <c:pt idx="0">
                  <c:v>281.82</c:v>
                </c:pt>
                <c:pt idx="1">
                  <c:v>41.25</c:v>
                </c:pt>
                <c:pt idx="2">
                  <c:v>-199.32</c:v>
                </c:pt>
                <c:pt idx="3">
                  <c:v>-199.32</c:v>
                </c:pt>
                <c:pt idx="4">
                  <c:v>41.25</c:v>
                </c:pt>
                <c:pt idx="5">
                  <c:v>281.82</c:v>
                </c:pt>
              </c:numCache>
            </c:numRef>
          </c:xVal>
          <c:yVal>
            <c:numRef>
              <c:f>'X Ripple 15'!$F$5:$F$10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87-455C-B5E7-6853803F66B1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'X Ripple 15'!$H$5:$H$10</c:f>
              <c:numCache>
                <c:formatCode>General</c:formatCode>
                <c:ptCount val="6"/>
                <c:pt idx="0">
                  <c:v>240.57</c:v>
                </c:pt>
                <c:pt idx="1">
                  <c:v>0</c:v>
                </c:pt>
                <c:pt idx="2">
                  <c:v>-240.57</c:v>
                </c:pt>
                <c:pt idx="3">
                  <c:v>-240.57</c:v>
                </c:pt>
                <c:pt idx="4">
                  <c:v>0</c:v>
                </c:pt>
                <c:pt idx="5">
                  <c:v>240.57</c:v>
                </c:pt>
              </c:numCache>
            </c:numRef>
          </c:xVal>
          <c:yVal>
            <c:numRef>
              <c:f>'X Ripple 15'!$I$5:$I$10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-277.79000000000002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87-455C-B5E7-6853803F66B1}"/>
            </c:ext>
          </c:extLst>
        </c:ser>
        <c:ser>
          <c:idx val="3"/>
          <c:order val="3"/>
          <c:tx>
            <c:v>Rp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'X Ripple 15'!$BT$5:$BT$10</c:f>
              <c:numCache>
                <c:formatCode>General</c:formatCode>
                <c:ptCount val="6"/>
                <c:pt idx="0">
                  <c:v>215.82</c:v>
                </c:pt>
                <c:pt idx="1">
                  <c:v>-8.25</c:v>
                </c:pt>
                <c:pt idx="2">
                  <c:v>-232.32</c:v>
                </c:pt>
                <c:pt idx="3">
                  <c:v>265.32</c:v>
                </c:pt>
                <c:pt idx="4">
                  <c:v>41.25</c:v>
                </c:pt>
                <c:pt idx="5">
                  <c:v>-281.82</c:v>
                </c:pt>
              </c:numCache>
            </c:numRef>
          </c:xVal>
          <c:yVal>
            <c:numRef>
              <c:f>'X Ripple 15'!$BU$5:$BU$10</c:f>
              <c:numCache>
                <c:formatCode>General</c:formatCode>
                <c:ptCount val="6"/>
                <c:pt idx="0">
                  <c:v>138.88999999999999</c:v>
                </c:pt>
                <c:pt idx="1">
                  <c:v>-277.79000000000002</c:v>
                </c:pt>
                <c:pt idx="2">
                  <c:v>138.9</c:v>
                </c:pt>
                <c:pt idx="3">
                  <c:v>-138.9</c:v>
                </c:pt>
                <c:pt idx="4">
                  <c:v>277.79000000000002</c:v>
                </c:pt>
                <c:pt idx="5">
                  <c:v>-138.9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87-455C-B5E7-6853803F6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Axis</a:t>
                </a:r>
              </a:p>
            </c:rich>
          </c:tx>
          <c:layout>
            <c:manualLayout>
              <c:xMode val="edge"/>
              <c:yMode val="edge"/>
              <c:x val="0.47870735244800422"/>
              <c:y val="0.9312281326825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layout>
            <c:manualLayout>
              <c:xMode val="edge"/>
              <c:yMode val="edge"/>
              <c:x val="6.0490772461377403E-3"/>
              <c:y val="0.42931390363534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428624</xdr:colOff>
      <xdr:row>13</xdr:row>
      <xdr:rowOff>123825</xdr:rowOff>
    </xdr:from>
    <xdr:to>
      <xdr:col>13</xdr:col>
      <xdr:colOff>47625</xdr:colOff>
      <xdr:row>35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EAC38B-14B8-C640-F9D1-C30988CD1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428624</xdr:colOff>
      <xdr:row>13</xdr:row>
      <xdr:rowOff>123825</xdr:rowOff>
    </xdr:from>
    <xdr:to>
      <xdr:col>13</xdr:col>
      <xdr:colOff>47625</xdr:colOff>
      <xdr:row>35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4372DE-435B-434C-9286-6166DF0C1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428624</xdr:colOff>
      <xdr:row>13</xdr:row>
      <xdr:rowOff>123825</xdr:rowOff>
    </xdr:from>
    <xdr:to>
      <xdr:col>13</xdr:col>
      <xdr:colOff>47625</xdr:colOff>
      <xdr:row>35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6BF6F-E380-408F-9421-4F8F78A0D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428624</xdr:colOff>
      <xdr:row>13</xdr:row>
      <xdr:rowOff>123825</xdr:rowOff>
    </xdr:from>
    <xdr:to>
      <xdr:col>13</xdr:col>
      <xdr:colOff>47625</xdr:colOff>
      <xdr:row>35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3ED0DC-0A8D-4EAC-893A-3B9C35AF5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428624</xdr:colOff>
      <xdr:row>13</xdr:row>
      <xdr:rowOff>123825</xdr:rowOff>
    </xdr:from>
    <xdr:to>
      <xdr:col>13</xdr:col>
      <xdr:colOff>47625</xdr:colOff>
      <xdr:row>35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A592F8-FD65-4ABC-936D-2B7D60BBE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380999</xdr:colOff>
      <xdr:row>11</xdr:row>
      <xdr:rowOff>142875</xdr:rowOff>
    </xdr:from>
    <xdr:to>
      <xdr:col>11</xdr:col>
      <xdr:colOff>0</xdr:colOff>
      <xdr:row>33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479521-F02A-4D83-AD5C-0F8537FB0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552450</xdr:colOff>
      <xdr:row>11</xdr:row>
      <xdr:rowOff>133350</xdr:rowOff>
    </xdr:from>
    <xdr:to>
      <xdr:col>24</xdr:col>
      <xdr:colOff>171451</xdr:colOff>
      <xdr:row>33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5F9AE8-BB1E-4F65-81BC-759B596D1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523875</xdr:colOff>
      <xdr:row>10</xdr:row>
      <xdr:rowOff>133350</xdr:rowOff>
    </xdr:from>
    <xdr:to>
      <xdr:col>37</xdr:col>
      <xdr:colOff>142876</xdr:colOff>
      <xdr:row>32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029BB6-C20A-4A6F-BA68-54001941A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419100</xdr:colOff>
      <xdr:row>11</xdr:row>
      <xdr:rowOff>0</xdr:rowOff>
    </xdr:from>
    <xdr:to>
      <xdr:col>50</xdr:col>
      <xdr:colOff>38101</xdr:colOff>
      <xdr:row>33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A15F7F-7C1B-4E29-B289-905B40585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53</xdr:col>
      <xdr:colOff>400050</xdr:colOff>
      <xdr:row>11</xdr:row>
      <xdr:rowOff>0</xdr:rowOff>
    </xdr:from>
    <xdr:to>
      <xdr:col>64</xdr:col>
      <xdr:colOff>19051</xdr:colOff>
      <xdr:row>33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762A92-6761-4ECD-9546-4E4DBA5EA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83</xdr:col>
      <xdr:colOff>47625</xdr:colOff>
      <xdr:row>10</xdr:row>
      <xdr:rowOff>161925</xdr:rowOff>
    </xdr:from>
    <xdr:to>
      <xdr:col>93</xdr:col>
      <xdr:colOff>276226</xdr:colOff>
      <xdr:row>32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3BB0D25-619C-4430-9439-33C90BE6F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68</xdr:col>
      <xdr:colOff>561975</xdr:colOff>
      <xdr:row>12</xdr:row>
      <xdr:rowOff>9525</xdr:rowOff>
    </xdr:from>
    <xdr:to>
      <xdr:col>79</xdr:col>
      <xdr:colOff>180976</xdr:colOff>
      <xdr:row>34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D69D3F5-FF61-4CEE-B9F6-7E1B48093A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380999</xdr:colOff>
      <xdr:row>11</xdr:row>
      <xdr:rowOff>142875</xdr:rowOff>
    </xdr:from>
    <xdr:to>
      <xdr:col>11</xdr:col>
      <xdr:colOff>0</xdr:colOff>
      <xdr:row>33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626388-12D5-42C1-BFEE-6E5A8DED6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552450</xdr:colOff>
      <xdr:row>11</xdr:row>
      <xdr:rowOff>133350</xdr:rowOff>
    </xdr:from>
    <xdr:to>
      <xdr:col>24</xdr:col>
      <xdr:colOff>171451</xdr:colOff>
      <xdr:row>33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280D49-368E-479E-BC0E-5565FC863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523875</xdr:colOff>
      <xdr:row>10</xdr:row>
      <xdr:rowOff>133350</xdr:rowOff>
    </xdr:from>
    <xdr:to>
      <xdr:col>37</xdr:col>
      <xdr:colOff>142876</xdr:colOff>
      <xdr:row>32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4602B9-EC47-4064-989E-9A655FB39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419100</xdr:colOff>
      <xdr:row>11</xdr:row>
      <xdr:rowOff>0</xdr:rowOff>
    </xdr:from>
    <xdr:to>
      <xdr:col>50</xdr:col>
      <xdr:colOff>38101</xdr:colOff>
      <xdr:row>33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E02095-54CA-4DBD-8146-2DFAE4D84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53</xdr:col>
      <xdr:colOff>400050</xdr:colOff>
      <xdr:row>11</xdr:row>
      <xdr:rowOff>0</xdr:rowOff>
    </xdr:from>
    <xdr:to>
      <xdr:col>64</xdr:col>
      <xdr:colOff>19051</xdr:colOff>
      <xdr:row>33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7FA6A5-B514-4618-BFAB-8E9DD0659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83</xdr:col>
      <xdr:colOff>47625</xdr:colOff>
      <xdr:row>10</xdr:row>
      <xdr:rowOff>161925</xdr:rowOff>
    </xdr:from>
    <xdr:to>
      <xdr:col>93</xdr:col>
      <xdr:colOff>276226</xdr:colOff>
      <xdr:row>32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E70D54-B0A5-44CD-BDE4-24B689CC4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68</xdr:col>
      <xdr:colOff>561975</xdr:colOff>
      <xdr:row>12</xdr:row>
      <xdr:rowOff>9525</xdr:rowOff>
    </xdr:from>
    <xdr:to>
      <xdr:col>79</xdr:col>
      <xdr:colOff>180976</xdr:colOff>
      <xdr:row>34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911F29-C81D-416E-B0EB-7C863271A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E928-1AFB-4FD0-9234-9A0A25EB1FB5}">
  <dimension ref="A1:J10"/>
  <sheetViews>
    <sheetView workbookViewId="0">
      <selection activeCell="R19" sqref="Q19:R19"/>
    </sheetView>
  </sheetViews>
  <sheetFormatPr defaultRowHeight="15" x14ac:dyDescent="0.25"/>
  <sheetData>
    <row r="1" spans="1:10" x14ac:dyDescent="0.25">
      <c r="A1" t="s">
        <v>10</v>
      </c>
      <c r="B1" t="s">
        <v>11</v>
      </c>
      <c r="C1" t="s">
        <v>12</v>
      </c>
      <c r="D1" t="s">
        <v>13</v>
      </c>
    </row>
    <row r="2" spans="1:10" x14ac:dyDescent="0.25">
      <c r="A2">
        <v>140</v>
      </c>
      <c r="B2">
        <v>0</v>
      </c>
      <c r="C2">
        <v>140</v>
      </c>
      <c r="D2">
        <v>0</v>
      </c>
    </row>
    <row r="4" spans="1:1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x14ac:dyDescent="0.25">
      <c r="A5">
        <v>0</v>
      </c>
      <c r="B5">
        <v>199.32</v>
      </c>
      <c r="C5">
        <v>138.88999999999999</v>
      </c>
      <c r="D5">
        <v>-89.66</v>
      </c>
      <c r="E5">
        <v>281.82</v>
      </c>
      <c r="F5">
        <v>138.88999999999999</v>
      </c>
      <c r="G5">
        <v>-89.66</v>
      </c>
      <c r="H5">
        <v>240.57</v>
      </c>
      <c r="I5">
        <v>138.88999999999999</v>
      </c>
      <c r="J5">
        <v>-34.659999999999997</v>
      </c>
    </row>
    <row r="6" spans="1:10" x14ac:dyDescent="0.25">
      <c r="A6">
        <v>1</v>
      </c>
      <c r="B6">
        <v>-41.25</v>
      </c>
      <c r="C6">
        <v>277.79000000000002</v>
      </c>
      <c r="D6">
        <v>-89.66</v>
      </c>
      <c r="E6">
        <v>41.25</v>
      </c>
      <c r="F6">
        <v>277.79000000000002</v>
      </c>
      <c r="G6">
        <v>-89.66</v>
      </c>
      <c r="H6">
        <v>0</v>
      </c>
      <c r="I6">
        <v>277.79000000000002</v>
      </c>
      <c r="J6">
        <v>-34.659999999999997</v>
      </c>
    </row>
    <row r="7" spans="1:10" x14ac:dyDescent="0.25">
      <c r="A7">
        <v>2</v>
      </c>
      <c r="B7">
        <v>-281.82</v>
      </c>
      <c r="C7">
        <v>138.9</v>
      </c>
      <c r="D7">
        <v>-89.66</v>
      </c>
      <c r="E7">
        <v>-199.32</v>
      </c>
      <c r="F7">
        <v>138.9</v>
      </c>
      <c r="G7">
        <v>-89.66</v>
      </c>
      <c r="H7">
        <v>-240.57</v>
      </c>
      <c r="I7">
        <v>138.9</v>
      </c>
      <c r="J7">
        <v>-34.659999999999997</v>
      </c>
    </row>
    <row r="8" spans="1:10" x14ac:dyDescent="0.25">
      <c r="A8">
        <v>3</v>
      </c>
      <c r="B8">
        <v>-281.82</v>
      </c>
      <c r="C8">
        <v>-138.9</v>
      </c>
      <c r="D8">
        <v>-89.66</v>
      </c>
      <c r="E8">
        <v>-199.32</v>
      </c>
      <c r="F8">
        <v>-138.9</v>
      </c>
      <c r="G8">
        <v>-89.66</v>
      </c>
      <c r="H8">
        <v>-240.57</v>
      </c>
      <c r="I8">
        <v>-138.9</v>
      </c>
      <c r="J8">
        <v>-34.659999999999997</v>
      </c>
    </row>
    <row r="9" spans="1:10" x14ac:dyDescent="0.25">
      <c r="A9">
        <v>4</v>
      </c>
      <c r="B9">
        <v>-41.25</v>
      </c>
      <c r="C9">
        <v>-277.79000000000002</v>
      </c>
      <c r="D9">
        <v>-89.66</v>
      </c>
      <c r="E9">
        <v>41.25</v>
      </c>
      <c r="F9">
        <v>-277.79000000000002</v>
      </c>
      <c r="G9">
        <v>-89.66</v>
      </c>
      <c r="H9">
        <v>0</v>
      </c>
      <c r="I9">
        <v>-277.79000000000002</v>
      </c>
      <c r="J9">
        <v>-34.659999999999997</v>
      </c>
    </row>
    <row r="10" spans="1:10" x14ac:dyDescent="0.25">
      <c r="A10">
        <v>5</v>
      </c>
      <c r="B10">
        <v>199.32</v>
      </c>
      <c r="C10">
        <v>-138.9</v>
      </c>
      <c r="D10">
        <v>-89.66</v>
      </c>
      <c r="E10">
        <v>281.82</v>
      </c>
      <c r="F10">
        <v>-138.9</v>
      </c>
      <c r="G10">
        <v>-89.66</v>
      </c>
      <c r="H10">
        <v>240.57</v>
      </c>
      <c r="I10">
        <v>-138.9</v>
      </c>
      <c r="J10">
        <v>-34.659999999999997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31D4-04A4-4FF3-BF80-2BE78F95CA60}">
  <dimension ref="A1:J10"/>
  <sheetViews>
    <sheetView workbookViewId="0">
      <selection activeCell="Q22" sqref="Q22"/>
    </sheetView>
  </sheetViews>
  <sheetFormatPr defaultRowHeight="15" x14ac:dyDescent="0.25"/>
  <sheetData>
    <row r="1" spans="1:10" x14ac:dyDescent="0.25">
      <c r="A1" t="s">
        <v>10</v>
      </c>
      <c r="B1" t="s">
        <v>11</v>
      </c>
      <c r="C1" t="s">
        <v>12</v>
      </c>
      <c r="D1" t="s">
        <v>13</v>
      </c>
    </row>
    <row r="2" spans="1:10" x14ac:dyDescent="0.25">
      <c r="A2">
        <v>0</v>
      </c>
      <c r="B2">
        <v>50</v>
      </c>
      <c r="C2">
        <v>50</v>
      </c>
      <c r="D2">
        <v>0</v>
      </c>
    </row>
    <row r="4" spans="1:1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x14ac:dyDescent="0.25">
      <c r="A5">
        <v>0</v>
      </c>
      <c r="B5">
        <v>234.91</v>
      </c>
      <c r="C5">
        <v>116.88</v>
      </c>
      <c r="D5">
        <v>-63.63</v>
      </c>
      <c r="E5">
        <v>234.91</v>
      </c>
      <c r="F5">
        <v>154.38</v>
      </c>
      <c r="G5">
        <v>-63.63</v>
      </c>
      <c r="H5">
        <v>234.91</v>
      </c>
      <c r="I5">
        <v>135.63</v>
      </c>
      <c r="J5">
        <v>-8.6300000000000008</v>
      </c>
    </row>
    <row r="6" spans="1:10" x14ac:dyDescent="0.25">
      <c r="A6">
        <v>1</v>
      </c>
      <c r="B6">
        <v>0</v>
      </c>
      <c r="C6">
        <v>252.51</v>
      </c>
      <c r="D6">
        <v>-63.63</v>
      </c>
      <c r="E6">
        <v>0</v>
      </c>
      <c r="F6">
        <v>290.01</v>
      </c>
      <c r="G6">
        <v>-63.63</v>
      </c>
      <c r="H6">
        <v>0</v>
      </c>
      <c r="I6">
        <v>271.26</v>
      </c>
      <c r="J6">
        <v>-8.6300000000000008</v>
      </c>
    </row>
    <row r="7" spans="1:10" x14ac:dyDescent="0.25">
      <c r="A7">
        <v>2</v>
      </c>
      <c r="B7">
        <v>-234.91</v>
      </c>
      <c r="C7">
        <v>116.88</v>
      </c>
      <c r="D7">
        <v>-63.63</v>
      </c>
      <c r="E7">
        <v>-234.91</v>
      </c>
      <c r="F7">
        <v>154.38</v>
      </c>
      <c r="G7">
        <v>-63.63</v>
      </c>
      <c r="H7">
        <v>-234.91</v>
      </c>
      <c r="I7">
        <v>135.63</v>
      </c>
      <c r="J7">
        <v>-8.6300000000000008</v>
      </c>
    </row>
    <row r="8" spans="1:10" x14ac:dyDescent="0.25">
      <c r="A8">
        <v>3</v>
      </c>
      <c r="B8">
        <v>-234.91</v>
      </c>
      <c r="C8">
        <v>-154.38</v>
      </c>
      <c r="D8">
        <v>-63.63</v>
      </c>
      <c r="E8">
        <v>-234.91</v>
      </c>
      <c r="F8">
        <v>-116.88</v>
      </c>
      <c r="G8">
        <v>-63.63</v>
      </c>
      <c r="H8">
        <v>-234.91</v>
      </c>
      <c r="I8">
        <v>-135.63</v>
      </c>
      <c r="J8">
        <v>-8.6300000000000008</v>
      </c>
    </row>
    <row r="9" spans="1:10" x14ac:dyDescent="0.25">
      <c r="A9">
        <v>4</v>
      </c>
      <c r="B9">
        <v>0</v>
      </c>
      <c r="C9">
        <v>-290.01</v>
      </c>
      <c r="D9">
        <v>-63.63</v>
      </c>
      <c r="E9">
        <v>0</v>
      </c>
      <c r="F9">
        <v>-252.51</v>
      </c>
      <c r="G9">
        <v>-63.63</v>
      </c>
      <c r="H9">
        <v>0</v>
      </c>
      <c r="I9">
        <v>-271.26</v>
      </c>
      <c r="J9">
        <v>-8.6300000000000008</v>
      </c>
    </row>
    <row r="10" spans="1:10" x14ac:dyDescent="0.25">
      <c r="A10">
        <v>5</v>
      </c>
      <c r="B10">
        <v>234.91</v>
      </c>
      <c r="C10">
        <v>-154.38</v>
      </c>
      <c r="D10">
        <v>-63.63</v>
      </c>
      <c r="E10">
        <v>234.91</v>
      </c>
      <c r="F10">
        <v>-116.88</v>
      </c>
      <c r="G10">
        <v>-63.63</v>
      </c>
      <c r="H10">
        <v>234.91</v>
      </c>
      <c r="I10">
        <v>-135.63</v>
      </c>
      <c r="J10">
        <v>-8.6300000000000008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C07D-3936-4796-AFC6-66879CDE30D8}">
  <dimension ref="A1:J10"/>
  <sheetViews>
    <sheetView workbookViewId="0">
      <selection activeCell="A4" sqref="A4:A10"/>
    </sheetView>
  </sheetViews>
  <sheetFormatPr defaultRowHeight="15" x14ac:dyDescent="0.25"/>
  <sheetData>
    <row r="1" spans="1:10" x14ac:dyDescent="0.25">
      <c r="A1" t="s">
        <v>10</v>
      </c>
      <c r="B1" t="s">
        <v>11</v>
      </c>
      <c r="C1" t="s">
        <v>12</v>
      </c>
      <c r="D1" t="s">
        <v>13</v>
      </c>
    </row>
    <row r="2" spans="1:10" x14ac:dyDescent="0.25">
      <c r="A2">
        <v>70</v>
      </c>
      <c r="B2">
        <v>70</v>
      </c>
      <c r="C2">
        <v>98.99</v>
      </c>
      <c r="D2">
        <v>0</v>
      </c>
    </row>
    <row r="4" spans="1:1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x14ac:dyDescent="0.25">
      <c r="A5">
        <v>0</v>
      </c>
      <c r="B5">
        <v>208.66</v>
      </c>
      <c r="C5">
        <v>109.38</v>
      </c>
      <c r="D5">
        <v>-63.63</v>
      </c>
      <c r="E5">
        <v>261.16000000000003</v>
      </c>
      <c r="F5">
        <v>161.88</v>
      </c>
      <c r="G5">
        <v>-63.63</v>
      </c>
      <c r="H5">
        <v>234.91</v>
      </c>
      <c r="I5">
        <v>135.63</v>
      </c>
      <c r="J5">
        <v>-8.6300000000000008</v>
      </c>
    </row>
    <row r="6" spans="1:10" x14ac:dyDescent="0.25">
      <c r="A6">
        <v>1</v>
      </c>
      <c r="B6">
        <v>-26.25</v>
      </c>
      <c r="C6">
        <v>245.01</v>
      </c>
      <c r="D6">
        <v>-63.63</v>
      </c>
      <c r="E6">
        <v>26.25</v>
      </c>
      <c r="F6">
        <v>297.51</v>
      </c>
      <c r="G6">
        <v>-63.63</v>
      </c>
      <c r="H6">
        <v>0</v>
      </c>
      <c r="I6">
        <v>271.26</v>
      </c>
      <c r="J6">
        <v>-8.6300000000000008</v>
      </c>
    </row>
    <row r="7" spans="1:10" x14ac:dyDescent="0.25">
      <c r="A7">
        <v>2</v>
      </c>
      <c r="B7">
        <v>-261.16000000000003</v>
      </c>
      <c r="C7">
        <v>109.38</v>
      </c>
      <c r="D7">
        <v>-63.63</v>
      </c>
      <c r="E7">
        <v>-208.66</v>
      </c>
      <c r="F7">
        <v>161.88</v>
      </c>
      <c r="G7">
        <v>-63.63</v>
      </c>
      <c r="H7">
        <v>-234.91</v>
      </c>
      <c r="I7">
        <v>135.63</v>
      </c>
      <c r="J7">
        <v>-8.6300000000000008</v>
      </c>
    </row>
    <row r="8" spans="1:10" x14ac:dyDescent="0.25">
      <c r="A8">
        <v>3</v>
      </c>
      <c r="B8">
        <v>-261.16000000000003</v>
      </c>
      <c r="C8">
        <v>-161.88</v>
      </c>
      <c r="D8">
        <v>-63.63</v>
      </c>
      <c r="E8">
        <v>-208.66</v>
      </c>
      <c r="F8">
        <v>-109.38</v>
      </c>
      <c r="G8">
        <v>-63.63</v>
      </c>
      <c r="H8">
        <v>-234.91</v>
      </c>
      <c r="I8">
        <v>-135.63</v>
      </c>
      <c r="J8">
        <v>-8.6300000000000008</v>
      </c>
    </row>
    <row r="9" spans="1:10" x14ac:dyDescent="0.25">
      <c r="A9">
        <v>4</v>
      </c>
      <c r="B9">
        <v>-26.25</v>
      </c>
      <c r="C9">
        <v>-297.51</v>
      </c>
      <c r="D9">
        <v>-63.63</v>
      </c>
      <c r="E9">
        <v>26.25</v>
      </c>
      <c r="F9">
        <v>-245.01</v>
      </c>
      <c r="G9">
        <v>-63.63</v>
      </c>
      <c r="H9">
        <v>0</v>
      </c>
      <c r="I9">
        <v>-271.26</v>
      </c>
      <c r="J9">
        <v>-8.6300000000000008</v>
      </c>
    </row>
    <row r="10" spans="1:10" x14ac:dyDescent="0.25">
      <c r="A10">
        <v>5</v>
      </c>
      <c r="B10">
        <v>208.66</v>
      </c>
      <c r="C10">
        <v>-161.88</v>
      </c>
      <c r="D10">
        <v>-63.63</v>
      </c>
      <c r="E10">
        <v>261.16000000000003</v>
      </c>
      <c r="F10">
        <v>-109.38</v>
      </c>
      <c r="G10">
        <v>-63.63</v>
      </c>
      <c r="H10">
        <v>234.91</v>
      </c>
      <c r="I10">
        <v>-135.63</v>
      </c>
      <c r="J10">
        <v>-8.6300000000000008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6E60-2C92-4E37-B662-D65BDC95D41A}">
  <dimension ref="A1:J10"/>
  <sheetViews>
    <sheetView workbookViewId="0">
      <selection activeCell="N9" sqref="N9"/>
    </sheetView>
  </sheetViews>
  <sheetFormatPr defaultRowHeight="15" x14ac:dyDescent="0.25"/>
  <sheetData>
    <row r="1" spans="1:10" x14ac:dyDescent="0.25">
      <c r="A1" t="s">
        <v>10</v>
      </c>
      <c r="B1" t="s">
        <v>11</v>
      </c>
      <c r="C1" t="s">
        <v>12</v>
      </c>
      <c r="D1" t="s">
        <v>13</v>
      </c>
    </row>
    <row r="2" spans="1:10" x14ac:dyDescent="0.25">
      <c r="A2">
        <v>0</v>
      </c>
      <c r="B2">
        <v>0</v>
      </c>
      <c r="C2">
        <v>0</v>
      </c>
      <c r="D2">
        <v>0.25</v>
      </c>
    </row>
    <row r="4" spans="1:1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x14ac:dyDescent="0.25">
      <c r="A5">
        <v>0</v>
      </c>
      <c r="B5">
        <v>247.63</v>
      </c>
      <c r="C5">
        <v>113.6</v>
      </c>
      <c r="D5">
        <v>-63.63</v>
      </c>
      <c r="E5">
        <v>222.2</v>
      </c>
      <c r="F5">
        <v>157.65</v>
      </c>
      <c r="G5">
        <v>-63.63</v>
      </c>
      <c r="H5">
        <v>234.91</v>
      </c>
      <c r="I5">
        <v>135.63</v>
      </c>
      <c r="J5">
        <v>-8.6300000000000008</v>
      </c>
    </row>
    <row r="6" spans="1:10" x14ac:dyDescent="0.25">
      <c r="A6">
        <v>1</v>
      </c>
      <c r="B6">
        <v>25.43</v>
      </c>
      <c r="C6">
        <v>271.26</v>
      </c>
      <c r="D6">
        <v>-63.63</v>
      </c>
      <c r="E6">
        <v>-25.43</v>
      </c>
      <c r="F6">
        <v>271.26</v>
      </c>
      <c r="G6">
        <v>-63.63</v>
      </c>
      <c r="H6">
        <v>0</v>
      </c>
      <c r="I6">
        <v>271.26</v>
      </c>
      <c r="J6">
        <v>-8.6300000000000008</v>
      </c>
    </row>
    <row r="7" spans="1:10" x14ac:dyDescent="0.25">
      <c r="A7">
        <v>2</v>
      </c>
      <c r="B7">
        <v>-222.2</v>
      </c>
      <c r="C7">
        <v>157.65</v>
      </c>
      <c r="D7">
        <v>-63.63</v>
      </c>
      <c r="E7">
        <v>-247.63</v>
      </c>
      <c r="F7">
        <v>113.6</v>
      </c>
      <c r="G7">
        <v>-63.63</v>
      </c>
      <c r="H7">
        <v>-234.91</v>
      </c>
      <c r="I7">
        <v>135.63</v>
      </c>
      <c r="J7">
        <v>-8.6300000000000008</v>
      </c>
    </row>
    <row r="8" spans="1:10" x14ac:dyDescent="0.25">
      <c r="A8">
        <v>3</v>
      </c>
      <c r="B8">
        <v>-247.63</v>
      </c>
      <c r="C8">
        <v>-113.6</v>
      </c>
      <c r="D8">
        <v>-63.63</v>
      </c>
      <c r="E8">
        <v>-222.2</v>
      </c>
      <c r="F8">
        <v>-157.65</v>
      </c>
      <c r="G8">
        <v>-63.63</v>
      </c>
      <c r="H8">
        <v>-234.91</v>
      </c>
      <c r="I8">
        <v>-135.63</v>
      </c>
      <c r="J8">
        <v>-8.6300000000000008</v>
      </c>
    </row>
    <row r="9" spans="1:10" x14ac:dyDescent="0.25">
      <c r="A9">
        <v>4</v>
      </c>
      <c r="B9">
        <v>-25.43</v>
      </c>
      <c r="C9">
        <v>-271.26</v>
      </c>
      <c r="D9">
        <v>-63.63</v>
      </c>
      <c r="E9">
        <v>25.43</v>
      </c>
      <c r="F9">
        <v>-271.26</v>
      </c>
      <c r="G9">
        <v>-63.63</v>
      </c>
      <c r="H9">
        <v>0</v>
      </c>
      <c r="I9">
        <v>-271.26</v>
      </c>
      <c r="J9">
        <v>-8.6300000000000008</v>
      </c>
    </row>
    <row r="10" spans="1:10" x14ac:dyDescent="0.25">
      <c r="A10">
        <v>5</v>
      </c>
      <c r="B10">
        <v>222.2</v>
      </c>
      <c r="C10">
        <v>-157.65</v>
      </c>
      <c r="D10">
        <v>-63.63</v>
      </c>
      <c r="E10">
        <v>247.63</v>
      </c>
      <c r="F10">
        <v>-113.6</v>
      </c>
      <c r="G10">
        <v>-63.63</v>
      </c>
      <c r="H10">
        <v>234.91</v>
      </c>
      <c r="I10">
        <v>-135.63</v>
      </c>
      <c r="J10">
        <v>-8.6300000000000008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3BA2-DD69-45E4-B428-8B806A230E52}">
  <dimension ref="A1:J10"/>
  <sheetViews>
    <sheetView workbookViewId="0">
      <selection activeCell="P9" sqref="P9"/>
    </sheetView>
  </sheetViews>
  <sheetFormatPr defaultRowHeight="15" x14ac:dyDescent="0.25"/>
  <sheetData>
    <row r="1" spans="1:10" x14ac:dyDescent="0.25">
      <c r="A1" t="s">
        <v>10</v>
      </c>
      <c r="B1" t="s">
        <v>11</v>
      </c>
      <c r="C1" t="s">
        <v>12</v>
      </c>
      <c r="D1" t="s">
        <v>13</v>
      </c>
    </row>
    <row r="2" spans="1:10" x14ac:dyDescent="0.25">
      <c r="A2">
        <v>10</v>
      </c>
      <c r="B2">
        <v>10</v>
      </c>
      <c r="C2">
        <v>14.14</v>
      </c>
      <c r="D2">
        <v>0.1</v>
      </c>
    </row>
    <row r="4" spans="1:1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x14ac:dyDescent="0.25">
      <c r="A5">
        <v>0</v>
      </c>
      <c r="B5">
        <v>236.25</v>
      </c>
      <c r="C5">
        <v>123.07</v>
      </c>
      <c r="D5">
        <v>-63.63</v>
      </c>
      <c r="E5">
        <v>233.58</v>
      </c>
      <c r="F5">
        <v>148.19</v>
      </c>
      <c r="G5">
        <v>-63.63</v>
      </c>
      <c r="H5">
        <v>234.91</v>
      </c>
      <c r="I5">
        <v>135.63</v>
      </c>
      <c r="J5">
        <v>-8.6300000000000008</v>
      </c>
    </row>
    <row r="6" spans="1:10" x14ac:dyDescent="0.25">
      <c r="A6">
        <v>1</v>
      </c>
      <c r="B6">
        <v>6.42</v>
      </c>
      <c r="C6">
        <v>267.51</v>
      </c>
      <c r="D6">
        <v>-63.63</v>
      </c>
      <c r="E6">
        <v>-6.42</v>
      </c>
      <c r="F6">
        <v>275.01</v>
      </c>
      <c r="G6">
        <v>-63.63</v>
      </c>
      <c r="H6">
        <v>0</v>
      </c>
      <c r="I6">
        <v>271.26</v>
      </c>
      <c r="J6">
        <v>-8.6300000000000008</v>
      </c>
    </row>
    <row r="7" spans="1:10" x14ac:dyDescent="0.25">
      <c r="A7">
        <v>2</v>
      </c>
      <c r="B7">
        <v>-233.58</v>
      </c>
      <c r="C7">
        <v>140.69</v>
      </c>
      <c r="D7">
        <v>-63.63</v>
      </c>
      <c r="E7">
        <v>-236.25</v>
      </c>
      <c r="F7">
        <v>130.57</v>
      </c>
      <c r="G7">
        <v>-63.63</v>
      </c>
      <c r="H7">
        <v>-234.91</v>
      </c>
      <c r="I7">
        <v>135.63</v>
      </c>
      <c r="J7">
        <v>-8.6300000000000008</v>
      </c>
    </row>
    <row r="8" spans="1:10" x14ac:dyDescent="0.25">
      <c r="A8">
        <v>3</v>
      </c>
      <c r="B8">
        <v>-243.75</v>
      </c>
      <c r="C8">
        <v>-130.57</v>
      </c>
      <c r="D8">
        <v>-63.63</v>
      </c>
      <c r="E8">
        <v>-226.08</v>
      </c>
      <c r="F8">
        <v>-140.69</v>
      </c>
      <c r="G8">
        <v>-63.63</v>
      </c>
      <c r="H8">
        <v>-234.91</v>
      </c>
      <c r="I8">
        <v>-135.63</v>
      </c>
      <c r="J8">
        <v>-8.6300000000000008</v>
      </c>
    </row>
    <row r="9" spans="1:10" x14ac:dyDescent="0.25">
      <c r="A9">
        <v>4</v>
      </c>
      <c r="B9">
        <v>-13.92</v>
      </c>
      <c r="C9">
        <v>-275.01</v>
      </c>
      <c r="D9">
        <v>-63.63</v>
      </c>
      <c r="E9">
        <v>13.92</v>
      </c>
      <c r="F9">
        <v>-267.51</v>
      </c>
      <c r="G9">
        <v>-63.63</v>
      </c>
      <c r="H9">
        <v>0</v>
      </c>
      <c r="I9">
        <v>-271.26</v>
      </c>
      <c r="J9">
        <v>-8.6300000000000008</v>
      </c>
    </row>
    <row r="10" spans="1:10" x14ac:dyDescent="0.25">
      <c r="A10">
        <v>5</v>
      </c>
      <c r="B10">
        <v>226.08</v>
      </c>
      <c r="C10">
        <v>-148.19</v>
      </c>
      <c r="D10">
        <v>-63.63</v>
      </c>
      <c r="E10">
        <v>243.75</v>
      </c>
      <c r="F10">
        <v>-123.07</v>
      </c>
      <c r="G10">
        <v>-63.63</v>
      </c>
      <c r="H10">
        <v>234.91</v>
      </c>
      <c r="I10">
        <v>-135.63</v>
      </c>
      <c r="J10">
        <v>-8.6300000000000008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AA44-A3C8-43E7-96F1-C4D35D29F60B}">
  <dimension ref="A1:I21"/>
  <sheetViews>
    <sheetView workbookViewId="0">
      <selection activeCell="I19" sqref="I19"/>
    </sheetView>
  </sheetViews>
  <sheetFormatPr defaultRowHeight="15" x14ac:dyDescent="0.25"/>
  <cols>
    <col min="1" max="1" width="12.140625" customWidth="1"/>
    <col min="4" max="4" width="12.5703125" customWidth="1"/>
    <col min="9" max="9" width="17.42578125" customWidth="1"/>
  </cols>
  <sheetData>
    <row r="1" spans="1:9" ht="15.75" thickBot="1" x14ac:dyDescent="0.3">
      <c r="A1" s="6" t="s">
        <v>14</v>
      </c>
      <c r="B1" s="7"/>
      <c r="C1" s="7"/>
      <c r="D1" s="8"/>
      <c r="F1" s="6" t="s">
        <v>22</v>
      </c>
      <c r="G1" s="7"/>
      <c r="H1" s="7"/>
      <c r="I1" s="8"/>
    </row>
    <row r="2" spans="1:9" x14ac:dyDescent="0.25">
      <c r="A2" s="3" t="s">
        <v>15</v>
      </c>
      <c r="B2" s="3" t="s">
        <v>16</v>
      </c>
      <c r="C2" s="3" t="s">
        <v>17</v>
      </c>
      <c r="D2" s="3" t="s">
        <v>18</v>
      </c>
      <c r="E2" s="1"/>
      <c r="F2" s="3" t="s">
        <v>15</v>
      </c>
      <c r="G2" s="3" t="s">
        <v>16</v>
      </c>
      <c r="H2" s="3" t="s">
        <v>17</v>
      </c>
      <c r="I2" s="3" t="s">
        <v>18</v>
      </c>
    </row>
    <row r="3" spans="1:9" x14ac:dyDescent="0.25">
      <c r="A3" s="2" t="s">
        <v>19</v>
      </c>
      <c r="B3" s="2">
        <f>PI()/6</f>
        <v>0.52359877559829882</v>
      </c>
      <c r="C3" s="2" t="s">
        <v>21</v>
      </c>
      <c r="D3" s="2"/>
      <c r="F3" s="2" t="s">
        <v>33</v>
      </c>
      <c r="G3" s="2">
        <v>4095</v>
      </c>
      <c r="H3" s="2" t="s">
        <v>31</v>
      </c>
      <c r="I3" s="2"/>
    </row>
    <row r="4" spans="1:9" x14ac:dyDescent="0.25">
      <c r="A4" s="2" t="s">
        <v>20</v>
      </c>
      <c r="B4" s="2">
        <f>PI()/3</f>
        <v>1.0471975511965976</v>
      </c>
      <c r="C4" s="2" t="s">
        <v>21</v>
      </c>
      <c r="D4" s="2"/>
      <c r="F4" s="2" t="s">
        <v>34</v>
      </c>
      <c r="G4" s="2">
        <v>3000</v>
      </c>
      <c r="H4" s="2" t="s">
        <v>31</v>
      </c>
      <c r="I4" s="2"/>
    </row>
    <row r="5" spans="1:9" x14ac:dyDescent="0.25">
      <c r="A5" s="2" t="s">
        <v>23</v>
      </c>
      <c r="B5" s="2">
        <v>4095</v>
      </c>
      <c r="C5" s="2" t="s">
        <v>31</v>
      </c>
      <c r="D5" s="2"/>
      <c r="F5" s="2" t="s">
        <v>37</v>
      </c>
      <c r="G5" s="2">
        <f>G3-B14</f>
        <v>2048</v>
      </c>
      <c r="H5" s="2" t="s">
        <v>31</v>
      </c>
      <c r="I5" s="2"/>
    </row>
    <row r="6" spans="1:9" x14ac:dyDescent="0.25">
      <c r="A6" s="2" t="s">
        <v>30</v>
      </c>
      <c r="B6" s="2">
        <v>0</v>
      </c>
      <c r="C6" s="2" t="s">
        <v>31</v>
      </c>
      <c r="D6" s="2"/>
      <c r="F6" s="2" t="s">
        <v>38</v>
      </c>
      <c r="G6" s="2">
        <f>G4-B16</f>
        <v>953</v>
      </c>
      <c r="H6" s="2" t="s">
        <v>31</v>
      </c>
      <c r="I6" s="2"/>
    </row>
    <row r="7" spans="1:9" x14ac:dyDescent="0.25">
      <c r="A7" s="2" t="s">
        <v>28</v>
      </c>
      <c r="B7" s="2">
        <v>1958</v>
      </c>
      <c r="C7" s="2" t="s">
        <v>31</v>
      </c>
      <c r="D7" s="2"/>
      <c r="F7" s="2" t="s">
        <v>36</v>
      </c>
      <c r="G7" s="2">
        <f>SQRT(G5*G5+G6*G6)</f>
        <v>2258.8742771566549</v>
      </c>
      <c r="H7" s="2" t="s">
        <v>31</v>
      </c>
      <c r="I7" s="2"/>
    </row>
    <row r="8" spans="1:9" x14ac:dyDescent="0.25">
      <c r="A8" s="2" t="s">
        <v>29</v>
      </c>
      <c r="B8" s="2">
        <v>1958</v>
      </c>
      <c r="C8" s="2" t="s">
        <v>31</v>
      </c>
      <c r="D8" s="2"/>
      <c r="F8" s="2" t="s">
        <v>35</v>
      </c>
      <c r="G8" s="2">
        <f>(G7)*((B21-B20)/(B18-B19))+B20</f>
        <v>154.41523379000571</v>
      </c>
      <c r="H8" s="2" t="s">
        <v>32</v>
      </c>
      <c r="I8" s="2"/>
    </row>
    <row r="9" spans="1:9" x14ac:dyDescent="0.25">
      <c r="A9" s="2" t="s">
        <v>24</v>
      </c>
      <c r="B9" s="2">
        <f>B5-B7</f>
        <v>2137</v>
      </c>
      <c r="C9" s="2" t="s">
        <v>31</v>
      </c>
      <c r="D9" s="2"/>
      <c r="F9" s="2" t="s">
        <v>57</v>
      </c>
      <c r="G9" s="2">
        <f>IF(G8&gt;B21, B21,G8)</f>
        <v>140</v>
      </c>
      <c r="H9" s="2" t="s">
        <v>32</v>
      </c>
      <c r="I9" s="2"/>
    </row>
    <row r="10" spans="1:9" x14ac:dyDescent="0.25">
      <c r="A10" s="2" t="s">
        <v>25</v>
      </c>
      <c r="B10" s="2">
        <f>B5-B8</f>
        <v>2137</v>
      </c>
      <c r="C10" s="2" t="s">
        <v>31</v>
      </c>
      <c r="D10" s="2"/>
      <c r="F10" s="2" t="s">
        <v>48</v>
      </c>
      <c r="G10" s="2">
        <f>ATAN2(G5,G6)</f>
        <v>0.43553063969993661</v>
      </c>
      <c r="H10" s="2" t="s">
        <v>21</v>
      </c>
      <c r="I10" s="2"/>
    </row>
    <row r="11" spans="1:9" x14ac:dyDescent="0.25">
      <c r="A11" s="2" t="s">
        <v>39</v>
      </c>
      <c r="B11" s="2">
        <f>B6-B7</f>
        <v>-1958</v>
      </c>
      <c r="C11" s="2" t="s">
        <v>31</v>
      </c>
      <c r="D11" s="2"/>
      <c r="F11" s="2" t="s">
        <v>49</v>
      </c>
      <c r="G11" s="2">
        <f>B4*ROUND(G10/B4, 0)</f>
        <v>0</v>
      </c>
      <c r="H11" s="2" t="s">
        <v>21</v>
      </c>
      <c r="I11" s="2" t="s">
        <v>50</v>
      </c>
    </row>
    <row r="12" spans="1:9" x14ac:dyDescent="0.25">
      <c r="A12" s="2" t="s">
        <v>40</v>
      </c>
      <c r="B12" s="2">
        <f>B6-B8</f>
        <v>-1958</v>
      </c>
      <c r="C12" s="2" t="s">
        <v>31</v>
      </c>
      <c r="D12" s="2" t="s">
        <v>58</v>
      </c>
      <c r="F12" s="2" t="s">
        <v>51</v>
      </c>
      <c r="G12" s="2">
        <f>DEGREES(G11)</f>
        <v>0</v>
      </c>
      <c r="H12" s="2" t="s">
        <v>52</v>
      </c>
      <c r="I12" s="2"/>
    </row>
    <row r="13" spans="1:9" x14ac:dyDescent="0.25">
      <c r="A13" s="2" t="s">
        <v>41</v>
      </c>
      <c r="B13" s="2">
        <v>90</v>
      </c>
      <c r="C13" s="2" t="s">
        <v>31</v>
      </c>
      <c r="D13" s="2"/>
      <c r="F13" s="2" t="s">
        <v>53</v>
      </c>
      <c r="G13" s="2">
        <f>G9*COS(G11)</f>
        <v>140</v>
      </c>
      <c r="H13" s="2" t="s">
        <v>32</v>
      </c>
      <c r="I13" s="2" t="s">
        <v>55</v>
      </c>
    </row>
    <row r="14" spans="1:9" x14ac:dyDescent="0.25">
      <c r="A14" s="2" t="s">
        <v>42</v>
      </c>
      <c r="B14" s="2">
        <f>B9-B13</f>
        <v>2047</v>
      </c>
      <c r="C14" s="2" t="s">
        <v>31</v>
      </c>
      <c r="D14" s="2"/>
      <c r="F14" s="2" t="s">
        <v>54</v>
      </c>
      <c r="G14" s="2">
        <f>G9*SIN(G11)</f>
        <v>0</v>
      </c>
      <c r="H14" s="2" t="s">
        <v>32</v>
      </c>
      <c r="I14" s="2" t="s">
        <v>56</v>
      </c>
    </row>
    <row r="15" spans="1:9" x14ac:dyDescent="0.25">
      <c r="A15" s="2" t="s">
        <v>43</v>
      </c>
      <c r="B15" s="2">
        <f>B11-B13</f>
        <v>-2048</v>
      </c>
      <c r="C15" s="2" t="s">
        <v>31</v>
      </c>
      <c r="D15" s="2"/>
    </row>
    <row r="16" spans="1:9" x14ac:dyDescent="0.25">
      <c r="A16" s="2" t="s">
        <v>44</v>
      </c>
      <c r="B16" s="2">
        <f>B14</f>
        <v>2047</v>
      </c>
      <c r="C16" s="2" t="s">
        <v>31</v>
      </c>
      <c r="D16" s="2"/>
    </row>
    <row r="17" spans="1:4" x14ac:dyDescent="0.25">
      <c r="A17" s="2" t="s">
        <v>45</v>
      </c>
      <c r="B17" s="2">
        <f>B15</f>
        <v>-2048</v>
      </c>
      <c r="C17" s="2" t="s">
        <v>31</v>
      </c>
      <c r="D17" s="2"/>
    </row>
    <row r="18" spans="1:4" x14ac:dyDescent="0.25">
      <c r="A18" s="2" t="s">
        <v>46</v>
      </c>
      <c r="B18" s="2">
        <v>2048</v>
      </c>
      <c r="C18" s="2" t="s">
        <v>31</v>
      </c>
      <c r="D18" s="2"/>
    </row>
    <row r="19" spans="1:4" x14ac:dyDescent="0.25">
      <c r="A19" s="2" t="s">
        <v>47</v>
      </c>
      <c r="B19" s="2">
        <v>0</v>
      </c>
      <c r="C19" s="2" t="s">
        <v>31</v>
      </c>
      <c r="D19" s="2"/>
    </row>
    <row r="20" spans="1:4" x14ac:dyDescent="0.25">
      <c r="A20" s="2" t="s">
        <v>26</v>
      </c>
      <c r="B20" s="2">
        <v>0</v>
      </c>
      <c r="C20" s="2" t="s">
        <v>32</v>
      </c>
      <c r="D20" s="2"/>
    </row>
    <row r="21" spans="1:4" x14ac:dyDescent="0.25">
      <c r="A21" s="2" t="s">
        <v>27</v>
      </c>
      <c r="B21" s="2">
        <v>140</v>
      </c>
      <c r="C21" s="2" t="s">
        <v>32</v>
      </c>
      <c r="D21" s="2"/>
    </row>
  </sheetData>
  <mergeCells count="2">
    <mergeCell ref="A1:D1"/>
    <mergeCell ref="F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BAB9-467F-4E05-A5CF-E22C3165A618}">
  <dimension ref="A1:I9"/>
  <sheetViews>
    <sheetView workbookViewId="0">
      <selection activeCell="H4" sqref="H4"/>
    </sheetView>
  </sheetViews>
  <sheetFormatPr defaultRowHeight="15" x14ac:dyDescent="0.25"/>
  <cols>
    <col min="1" max="1" width="13.140625" customWidth="1"/>
    <col min="4" max="5" width="12.7109375" customWidth="1"/>
    <col min="9" max="9" width="13" customWidth="1"/>
  </cols>
  <sheetData>
    <row r="1" spans="1:9" ht="15.75" thickBot="1" x14ac:dyDescent="0.3">
      <c r="A1" s="6" t="s">
        <v>14</v>
      </c>
      <c r="B1" s="7"/>
      <c r="C1" s="7"/>
      <c r="D1" s="8"/>
      <c r="E1" s="4"/>
      <c r="F1" s="6" t="s">
        <v>22</v>
      </c>
      <c r="G1" s="7"/>
      <c r="H1" s="7"/>
      <c r="I1" s="8"/>
    </row>
    <row r="2" spans="1:9" x14ac:dyDescent="0.25">
      <c r="A2" s="3" t="s">
        <v>15</v>
      </c>
      <c r="B2" s="3" t="s">
        <v>16</v>
      </c>
      <c r="C2" s="3" t="s">
        <v>17</v>
      </c>
      <c r="D2" s="3" t="s">
        <v>18</v>
      </c>
      <c r="E2" s="1"/>
      <c r="F2" s="3" t="s">
        <v>15</v>
      </c>
      <c r="G2" s="3" t="s">
        <v>16</v>
      </c>
      <c r="H2" s="3" t="s">
        <v>17</v>
      </c>
      <c r="I2" s="3" t="s">
        <v>18</v>
      </c>
    </row>
    <row r="3" spans="1:9" x14ac:dyDescent="0.25">
      <c r="A3" s="2" t="s">
        <v>67</v>
      </c>
      <c r="B3" s="2">
        <f>1/6</f>
        <v>0.16666666666666666</v>
      </c>
      <c r="C3" s="2" t="s">
        <v>70</v>
      </c>
      <c r="D3" s="2"/>
      <c r="F3" s="5" t="s">
        <v>0</v>
      </c>
      <c r="G3" s="5" t="s">
        <v>69</v>
      </c>
      <c r="H3" s="5" t="s">
        <v>66</v>
      </c>
      <c r="I3" s="2"/>
    </row>
    <row r="4" spans="1:9" x14ac:dyDescent="0.25">
      <c r="A4" s="2" t="s">
        <v>59</v>
      </c>
      <c r="B4" s="2">
        <v>1</v>
      </c>
      <c r="C4" s="2" t="s">
        <v>70</v>
      </c>
      <c r="D4" s="2"/>
      <c r="F4" s="2" t="s">
        <v>60</v>
      </c>
      <c r="G4" s="2">
        <v>0</v>
      </c>
      <c r="H4" s="2">
        <f>IF(($B$4-G4)&lt;=0,$B$5-(ABS(G4-$B$4)*$B$3), (ABS(G4-$B$4)*$B$3))</f>
        <v>0.16666666666666666</v>
      </c>
      <c r="I4" s="2"/>
    </row>
    <row r="5" spans="1:9" x14ac:dyDescent="0.25">
      <c r="A5" s="2" t="s">
        <v>68</v>
      </c>
      <c r="B5" s="2">
        <v>1</v>
      </c>
      <c r="C5" s="2" t="s">
        <v>70</v>
      </c>
      <c r="D5" s="2"/>
      <c r="F5" s="2" t="s">
        <v>64</v>
      </c>
      <c r="G5" s="2">
        <v>1</v>
      </c>
      <c r="H5" s="2">
        <f t="shared" ref="H5:H9" si="0">IF(($B$4-G5)&lt;=0,$B$5-(ABS(G5-$B$4)*$B$3), (ABS(G5-$B$4)*$B$3))</f>
        <v>1</v>
      </c>
      <c r="I5" s="2"/>
    </row>
    <row r="6" spans="1:9" x14ac:dyDescent="0.25">
      <c r="F6" s="2" t="s">
        <v>62</v>
      </c>
      <c r="G6" s="2">
        <v>2</v>
      </c>
      <c r="H6" s="2">
        <f t="shared" si="0"/>
        <v>0.83333333333333337</v>
      </c>
      <c r="I6" s="2"/>
    </row>
    <row r="7" spans="1:9" x14ac:dyDescent="0.25">
      <c r="F7" s="2" t="s">
        <v>65</v>
      </c>
      <c r="G7" s="2">
        <v>3</v>
      </c>
      <c r="H7" s="2">
        <f t="shared" si="0"/>
        <v>0.66666666666666674</v>
      </c>
      <c r="I7" s="2"/>
    </row>
    <row r="8" spans="1:9" x14ac:dyDescent="0.25">
      <c r="F8" s="2" t="s">
        <v>61</v>
      </c>
      <c r="G8" s="2">
        <v>4</v>
      </c>
      <c r="H8" s="2">
        <f t="shared" si="0"/>
        <v>0.5</v>
      </c>
      <c r="I8" s="2"/>
    </row>
    <row r="9" spans="1:9" x14ac:dyDescent="0.25">
      <c r="F9" s="2" t="s">
        <v>63</v>
      </c>
      <c r="G9" s="2">
        <v>5</v>
      </c>
      <c r="H9" s="2">
        <f t="shared" si="0"/>
        <v>0.33333333333333337</v>
      </c>
      <c r="I9" s="2"/>
    </row>
  </sheetData>
  <mergeCells count="2">
    <mergeCell ref="A1:D1"/>
    <mergeCell ref="F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1EC0-130B-498F-9F32-AF378C097CC0}">
  <dimension ref="A1:CP10"/>
  <sheetViews>
    <sheetView topLeftCell="BR1" workbookViewId="0">
      <selection activeCell="CE14" sqref="CE14"/>
    </sheetView>
  </sheetViews>
  <sheetFormatPr defaultRowHeight="15" x14ac:dyDescent="0.25"/>
  <sheetData>
    <row r="1" spans="1:94" x14ac:dyDescent="0.25">
      <c r="A1" s="1" t="s">
        <v>10</v>
      </c>
      <c r="B1" s="1" t="s">
        <v>11</v>
      </c>
      <c r="C1" s="1" t="s">
        <v>12</v>
      </c>
      <c r="D1" s="1" t="s">
        <v>13</v>
      </c>
    </row>
    <row r="2" spans="1:94" x14ac:dyDescent="0.25">
      <c r="A2">
        <v>110</v>
      </c>
      <c r="B2">
        <v>0</v>
      </c>
      <c r="C2">
        <v>110</v>
      </c>
      <c r="D2">
        <v>0</v>
      </c>
    </row>
    <row r="4" spans="1:94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/>
      <c r="L4" s="1" t="s">
        <v>85</v>
      </c>
      <c r="M4" s="1" t="s">
        <v>71</v>
      </c>
      <c r="N4" s="1" t="s">
        <v>72</v>
      </c>
      <c r="O4" s="1" t="s">
        <v>73</v>
      </c>
      <c r="P4" s="1" t="s">
        <v>74</v>
      </c>
      <c r="Q4" s="1" t="s">
        <v>75</v>
      </c>
      <c r="R4" s="1" t="s">
        <v>76</v>
      </c>
      <c r="S4" s="1" t="s">
        <v>77</v>
      </c>
      <c r="T4" s="1" t="s">
        <v>78</v>
      </c>
      <c r="U4" s="1" t="s">
        <v>79</v>
      </c>
      <c r="V4" s="1" t="s">
        <v>80</v>
      </c>
      <c r="W4" s="1" t="s">
        <v>81</v>
      </c>
      <c r="X4" s="1" t="s">
        <v>82</v>
      </c>
      <c r="Z4" t="s">
        <v>85</v>
      </c>
      <c r="AA4" s="1" t="s">
        <v>71</v>
      </c>
      <c r="AB4" s="1" t="s">
        <v>72</v>
      </c>
      <c r="AC4" s="1" t="s">
        <v>73</v>
      </c>
      <c r="AD4" s="1" t="s">
        <v>74</v>
      </c>
      <c r="AE4" s="1" t="s">
        <v>75</v>
      </c>
      <c r="AF4" s="1" t="s">
        <v>76</v>
      </c>
      <c r="AG4" s="1" t="s">
        <v>77</v>
      </c>
      <c r="AH4" s="1" t="s">
        <v>78</v>
      </c>
      <c r="AI4" s="1" t="s">
        <v>79</v>
      </c>
      <c r="AJ4" s="1" t="s">
        <v>80</v>
      </c>
      <c r="AK4" s="1" t="s">
        <v>81</v>
      </c>
      <c r="AL4" s="1" t="s">
        <v>82</v>
      </c>
      <c r="AN4" t="s">
        <v>85</v>
      </c>
      <c r="AO4" t="s">
        <v>71</v>
      </c>
      <c r="AP4" t="s">
        <v>72</v>
      </c>
      <c r="AQ4" t="s">
        <v>73</v>
      </c>
      <c r="AR4" t="s">
        <v>74</v>
      </c>
      <c r="AS4" t="s">
        <v>75</v>
      </c>
      <c r="AT4" t="s">
        <v>76</v>
      </c>
      <c r="AU4" t="s">
        <v>77</v>
      </c>
      <c r="AV4" t="s">
        <v>78</v>
      </c>
      <c r="AW4" t="s">
        <v>79</v>
      </c>
      <c r="AX4" t="s">
        <v>80</v>
      </c>
      <c r="AY4" t="s">
        <v>81</v>
      </c>
      <c r="AZ4" t="s">
        <v>82</v>
      </c>
      <c r="BB4" t="s">
        <v>85</v>
      </c>
      <c r="BC4" t="s">
        <v>71</v>
      </c>
      <c r="BD4" t="s">
        <v>72</v>
      </c>
      <c r="BE4" t="s">
        <v>73</v>
      </c>
      <c r="BF4" t="s">
        <v>74</v>
      </c>
      <c r="BG4" t="s">
        <v>75</v>
      </c>
      <c r="BH4" t="s">
        <v>76</v>
      </c>
      <c r="BI4" t="s">
        <v>77</v>
      </c>
      <c r="BJ4" t="s">
        <v>78</v>
      </c>
      <c r="BK4" t="s">
        <v>79</v>
      </c>
      <c r="BL4" t="s">
        <v>80</v>
      </c>
      <c r="BM4" t="s">
        <v>81</v>
      </c>
      <c r="BN4" t="s">
        <v>82</v>
      </c>
      <c r="BP4" t="s">
        <v>85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  <c r="BY4" t="s">
        <v>79</v>
      </c>
      <c r="BZ4" t="s">
        <v>80</v>
      </c>
      <c r="CA4" t="s">
        <v>81</v>
      </c>
      <c r="CB4" t="s">
        <v>82</v>
      </c>
      <c r="CD4" t="s">
        <v>85</v>
      </c>
      <c r="CE4" t="s">
        <v>71</v>
      </c>
      <c r="CF4" t="s">
        <v>72</v>
      </c>
      <c r="CG4" t="s">
        <v>73</v>
      </c>
      <c r="CH4" t="s">
        <v>74</v>
      </c>
      <c r="CI4" t="s">
        <v>75</v>
      </c>
      <c r="CJ4" t="s">
        <v>76</v>
      </c>
      <c r="CK4" t="s">
        <v>77</v>
      </c>
      <c r="CL4" t="s">
        <v>78</v>
      </c>
      <c r="CM4" t="s">
        <v>79</v>
      </c>
      <c r="CN4" t="s">
        <v>80</v>
      </c>
      <c r="CO4" t="s">
        <v>81</v>
      </c>
      <c r="CP4" t="s">
        <v>82</v>
      </c>
    </row>
    <row r="5" spans="1:94" x14ac:dyDescent="0.25">
      <c r="A5">
        <v>0</v>
      </c>
      <c r="B5">
        <v>199.32</v>
      </c>
      <c r="C5">
        <v>138.88999999999999</v>
      </c>
      <c r="D5">
        <v>-89.66</v>
      </c>
      <c r="E5">
        <v>281.82</v>
      </c>
      <c r="F5">
        <v>138.88999999999999</v>
      </c>
      <c r="G5">
        <v>-89.66</v>
      </c>
      <c r="H5">
        <v>240.57</v>
      </c>
      <c r="I5">
        <v>138.88999999999999</v>
      </c>
      <c r="J5">
        <v>-34.659999999999997</v>
      </c>
      <c r="L5">
        <v>0</v>
      </c>
      <c r="M5">
        <v>0</v>
      </c>
      <c r="N5">
        <v>0</v>
      </c>
      <c r="O5" t="s">
        <v>83</v>
      </c>
      <c r="P5">
        <v>281.82</v>
      </c>
      <c r="Q5">
        <v>138.88999999999999</v>
      </c>
      <c r="R5">
        <v>-89.66</v>
      </c>
      <c r="S5">
        <v>221.01</v>
      </c>
      <c r="T5">
        <v>-20.62</v>
      </c>
      <c r="U5">
        <v>-89.66</v>
      </c>
      <c r="V5">
        <v>-0.09</v>
      </c>
      <c r="W5">
        <v>-0.48</v>
      </c>
      <c r="X5">
        <v>1.55</v>
      </c>
      <c r="Z5">
        <v>1</v>
      </c>
      <c r="AA5">
        <v>0</v>
      </c>
      <c r="AB5">
        <v>0.17</v>
      </c>
      <c r="AC5" t="s">
        <v>84</v>
      </c>
      <c r="AD5">
        <v>268.07</v>
      </c>
      <c r="AE5">
        <v>138.88999999999999</v>
      </c>
      <c r="AF5">
        <v>-89.66</v>
      </c>
      <c r="AG5">
        <v>209.11</v>
      </c>
      <c r="AH5">
        <v>-13.75</v>
      </c>
      <c r="AI5">
        <v>-89.66</v>
      </c>
      <c r="AJ5">
        <v>-7.0000000000000007E-2</v>
      </c>
      <c r="AK5">
        <v>-0.54</v>
      </c>
      <c r="AL5">
        <v>1.69</v>
      </c>
      <c r="AN5">
        <v>2</v>
      </c>
      <c r="AO5">
        <v>0</v>
      </c>
      <c r="AP5">
        <v>0.33</v>
      </c>
      <c r="AQ5" t="s">
        <v>84</v>
      </c>
      <c r="AR5">
        <v>254.32</v>
      </c>
      <c r="AS5">
        <v>138.88999999999999</v>
      </c>
      <c r="AT5">
        <v>-89.66</v>
      </c>
      <c r="AU5">
        <v>197.2</v>
      </c>
      <c r="AV5">
        <v>-6.88</v>
      </c>
      <c r="AW5">
        <v>-89.66</v>
      </c>
      <c r="AX5">
        <v>-0.03</v>
      </c>
      <c r="AY5">
        <v>-0.6</v>
      </c>
      <c r="AZ5">
        <v>1.81</v>
      </c>
      <c r="BB5">
        <v>3</v>
      </c>
      <c r="BC5">
        <v>0</v>
      </c>
      <c r="BD5">
        <v>0.5</v>
      </c>
      <c r="BE5" t="s">
        <v>84</v>
      </c>
      <c r="BF5">
        <v>240.57</v>
      </c>
      <c r="BG5">
        <v>138.88999999999999</v>
      </c>
      <c r="BH5">
        <v>-89.66</v>
      </c>
      <c r="BI5">
        <v>185.29</v>
      </c>
      <c r="BJ5">
        <v>0</v>
      </c>
      <c r="BK5">
        <v>-89.66</v>
      </c>
      <c r="BL5">
        <v>0</v>
      </c>
      <c r="BM5">
        <v>-0.64</v>
      </c>
      <c r="BN5">
        <v>1.92</v>
      </c>
      <c r="BP5">
        <v>4</v>
      </c>
      <c r="BQ5">
        <v>0</v>
      </c>
      <c r="BR5">
        <v>0.67</v>
      </c>
      <c r="BS5" t="s">
        <v>84</v>
      </c>
      <c r="BT5">
        <v>226.82</v>
      </c>
      <c r="BU5">
        <v>138.88999999999999</v>
      </c>
      <c r="BV5">
        <v>-89.66</v>
      </c>
      <c r="BW5">
        <v>173.38</v>
      </c>
      <c r="BX5">
        <v>6.88</v>
      </c>
      <c r="BY5">
        <v>-89.66</v>
      </c>
      <c r="BZ5">
        <v>0.04</v>
      </c>
      <c r="CA5">
        <v>-0.68</v>
      </c>
      <c r="CB5">
        <v>2.02</v>
      </c>
      <c r="CD5">
        <v>5</v>
      </c>
      <c r="CE5">
        <v>0</v>
      </c>
      <c r="CF5">
        <v>0.83</v>
      </c>
      <c r="CG5" t="s">
        <v>84</v>
      </c>
      <c r="CH5">
        <v>213.07</v>
      </c>
      <c r="CI5">
        <v>138.88999999999999</v>
      </c>
      <c r="CJ5">
        <v>-89.66</v>
      </c>
      <c r="CK5">
        <v>161.47</v>
      </c>
      <c r="CL5">
        <v>13.75</v>
      </c>
      <c r="CM5">
        <v>-89.66</v>
      </c>
      <c r="CN5">
        <v>0.08</v>
      </c>
      <c r="CO5">
        <v>-0.71</v>
      </c>
      <c r="CP5">
        <v>2.12</v>
      </c>
    </row>
    <row r="6" spans="1:94" x14ac:dyDescent="0.25">
      <c r="A6">
        <v>1</v>
      </c>
      <c r="B6">
        <v>-41.25</v>
      </c>
      <c r="C6">
        <v>277.79000000000002</v>
      </c>
      <c r="D6">
        <v>-89.66</v>
      </c>
      <c r="E6">
        <v>41.25</v>
      </c>
      <c r="F6">
        <v>277.79000000000002</v>
      </c>
      <c r="G6">
        <v>-89.66</v>
      </c>
      <c r="H6">
        <v>0</v>
      </c>
      <c r="I6">
        <v>277.79000000000002</v>
      </c>
      <c r="J6">
        <v>-34.659999999999997</v>
      </c>
      <c r="L6">
        <v>0</v>
      </c>
      <c r="M6">
        <v>4</v>
      </c>
      <c r="N6">
        <v>0.83</v>
      </c>
      <c r="O6" t="s">
        <v>84</v>
      </c>
      <c r="P6">
        <v>-27.5</v>
      </c>
      <c r="Q6">
        <v>-277.79000000000002</v>
      </c>
      <c r="R6">
        <v>-89.66</v>
      </c>
      <c r="S6">
        <v>185.29</v>
      </c>
      <c r="T6">
        <v>-27.5</v>
      </c>
      <c r="U6">
        <v>-89.66</v>
      </c>
      <c r="V6">
        <v>-0.15</v>
      </c>
      <c r="W6">
        <v>-0.64</v>
      </c>
      <c r="X6">
        <v>1.9</v>
      </c>
      <c r="Z6">
        <v>1</v>
      </c>
      <c r="AA6">
        <v>4</v>
      </c>
      <c r="AB6">
        <v>0</v>
      </c>
      <c r="AC6" t="s">
        <v>83</v>
      </c>
      <c r="AD6">
        <v>41.25</v>
      </c>
      <c r="AE6">
        <v>-277.79000000000002</v>
      </c>
      <c r="AF6">
        <v>-89.66</v>
      </c>
      <c r="AG6">
        <v>185.29</v>
      </c>
      <c r="AH6">
        <v>41.25</v>
      </c>
      <c r="AI6">
        <v>-89.66</v>
      </c>
      <c r="AJ6">
        <v>0.22</v>
      </c>
      <c r="AK6">
        <v>-0.63</v>
      </c>
      <c r="AL6">
        <v>1.88</v>
      </c>
      <c r="AN6">
        <v>2</v>
      </c>
      <c r="AO6">
        <v>4</v>
      </c>
      <c r="AP6">
        <v>0.17</v>
      </c>
      <c r="AQ6" t="s">
        <v>84</v>
      </c>
      <c r="AR6">
        <v>27.5</v>
      </c>
      <c r="AS6">
        <v>-277.79000000000002</v>
      </c>
      <c r="AT6">
        <v>-89.66</v>
      </c>
      <c r="AU6">
        <v>185.29</v>
      </c>
      <c r="AV6">
        <v>27.5</v>
      </c>
      <c r="AW6">
        <v>-89.66</v>
      </c>
      <c r="AX6">
        <v>0.15</v>
      </c>
      <c r="AY6">
        <v>-0.64</v>
      </c>
      <c r="AZ6">
        <v>1.9</v>
      </c>
      <c r="BB6">
        <v>3</v>
      </c>
      <c r="BC6">
        <v>4</v>
      </c>
      <c r="BD6">
        <v>0.33</v>
      </c>
      <c r="BE6" t="s">
        <v>84</v>
      </c>
      <c r="BF6">
        <v>13.75</v>
      </c>
      <c r="BG6">
        <v>-277.79000000000002</v>
      </c>
      <c r="BH6">
        <v>-89.66</v>
      </c>
      <c r="BI6">
        <v>185.29</v>
      </c>
      <c r="BJ6">
        <v>13.75</v>
      </c>
      <c r="BK6">
        <v>-89.66</v>
      </c>
      <c r="BL6">
        <v>7.0000000000000007E-2</v>
      </c>
      <c r="BM6">
        <v>-0.64</v>
      </c>
      <c r="BN6">
        <v>1.92</v>
      </c>
      <c r="BP6">
        <v>4</v>
      </c>
      <c r="BQ6">
        <v>4</v>
      </c>
      <c r="BR6">
        <v>0.5</v>
      </c>
      <c r="BS6" t="s">
        <v>84</v>
      </c>
      <c r="BT6">
        <v>0</v>
      </c>
      <c r="BU6">
        <v>-277.79000000000002</v>
      </c>
      <c r="BV6">
        <v>-89.66</v>
      </c>
      <c r="BW6">
        <v>185.29</v>
      </c>
      <c r="BX6">
        <v>0</v>
      </c>
      <c r="BY6">
        <v>-89.66</v>
      </c>
      <c r="BZ6">
        <v>0</v>
      </c>
      <c r="CA6">
        <v>-0.64</v>
      </c>
      <c r="CB6">
        <v>1.92</v>
      </c>
      <c r="CD6">
        <v>5</v>
      </c>
      <c r="CE6">
        <v>4</v>
      </c>
      <c r="CF6">
        <v>0.67</v>
      </c>
      <c r="CG6" t="s">
        <v>84</v>
      </c>
      <c r="CH6">
        <v>-13.75</v>
      </c>
      <c r="CI6">
        <v>-277.79000000000002</v>
      </c>
      <c r="CJ6">
        <v>-89.66</v>
      </c>
      <c r="CK6">
        <v>185.29</v>
      </c>
      <c r="CL6">
        <v>-13.75</v>
      </c>
      <c r="CM6">
        <v>-89.66</v>
      </c>
      <c r="CN6">
        <v>-7.0000000000000007E-2</v>
      </c>
      <c r="CO6">
        <v>-0.64</v>
      </c>
      <c r="CP6">
        <v>1.92</v>
      </c>
    </row>
    <row r="7" spans="1:94" x14ac:dyDescent="0.25">
      <c r="A7">
        <v>2</v>
      </c>
      <c r="B7">
        <v>-281.82</v>
      </c>
      <c r="C7">
        <v>138.9</v>
      </c>
      <c r="D7">
        <v>-89.66</v>
      </c>
      <c r="E7">
        <v>-199.32</v>
      </c>
      <c r="F7">
        <v>138.9</v>
      </c>
      <c r="G7">
        <v>-89.66</v>
      </c>
      <c r="H7">
        <v>-240.57</v>
      </c>
      <c r="I7">
        <v>138.9</v>
      </c>
      <c r="J7">
        <v>-34.659999999999997</v>
      </c>
      <c r="L7">
        <v>0</v>
      </c>
      <c r="M7">
        <v>2</v>
      </c>
      <c r="N7">
        <v>0.67</v>
      </c>
      <c r="O7" t="s">
        <v>84</v>
      </c>
      <c r="P7">
        <v>-254.32</v>
      </c>
      <c r="Q7">
        <v>138.9</v>
      </c>
      <c r="R7">
        <v>-89.66</v>
      </c>
      <c r="S7">
        <v>197.2</v>
      </c>
      <c r="T7">
        <v>6.88</v>
      </c>
      <c r="U7">
        <v>-89.66</v>
      </c>
      <c r="V7">
        <v>0.03</v>
      </c>
      <c r="W7">
        <v>-0.6</v>
      </c>
      <c r="X7">
        <v>1.81</v>
      </c>
      <c r="Z7">
        <v>1</v>
      </c>
      <c r="AA7">
        <v>2</v>
      </c>
      <c r="AB7">
        <v>0.83</v>
      </c>
      <c r="AC7" t="s">
        <v>84</v>
      </c>
      <c r="AD7">
        <v>-268.07</v>
      </c>
      <c r="AE7">
        <v>138.9</v>
      </c>
      <c r="AF7">
        <v>-89.66</v>
      </c>
      <c r="AG7">
        <v>209.11</v>
      </c>
      <c r="AH7">
        <v>13.75</v>
      </c>
      <c r="AI7">
        <v>-89.66</v>
      </c>
      <c r="AJ7">
        <v>7.0000000000000007E-2</v>
      </c>
      <c r="AK7">
        <v>-0.54</v>
      </c>
      <c r="AL7">
        <v>1.69</v>
      </c>
      <c r="AN7">
        <v>2</v>
      </c>
      <c r="AO7">
        <v>2</v>
      </c>
      <c r="AP7">
        <v>0</v>
      </c>
      <c r="AQ7" t="s">
        <v>83</v>
      </c>
      <c r="AR7">
        <v>-199.32</v>
      </c>
      <c r="AS7">
        <v>138.9</v>
      </c>
      <c r="AT7">
        <v>-89.66</v>
      </c>
      <c r="AU7">
        <v>149.57</v>
      </c>
      <c r="AV7">
        <v>-20.62</v>
      </c>
      <c r="AW7">
        <v>-89.66</v>
      </c>
      <c r="AX7">
        <v>-0.14000000000000001</v>
      </c>
      <c r="AY7">
        <v>-0.73</v>
      </c>
      <c r="AZ7">
        <v>2.21</v>
      </c>
      <c r="BB7">
        <v>3</v>
      </c>
      <c r="BC7">
        <v>2</v>
      </c>
      <c r="BD7">
        <v>0.17</v>
      </c>
      <c r="BE7" t="s">
        <v>84</v>
      </c>
      <c r="BF7">
        <v>-213.07</v>
      </c>
      <c r="BG7">
        <v>138.9</v>
      </c>
      <c r="BH7">
        <v>-89.66</v>
      </c>
      <c r="BI7">
        <v>161.47</v>
      </c>
      <c r="BJ7">
        <v>-13.75</v>
      </c>
      <c r="BK7">
        <v>-89.66</v>
      </c>
      <c r="BL7">
        <v>-0.08</v>
      </c>
      <c r="BM7">
        <v>-0.71</v>
      </c>
      <c r="BN7">
        <v>2.12</v>
      </c>
      <c r="BP7">
        <v>4</v>
      </c>
      <c r="BQ7">
        <v>2</v>
      </c>
      <c r="BR7">
        <v>0.33</v>
      </c>
      <c r="BS7" t="s">
        <v>84</v>
      </c>
      <c r="BT7">
        <v>-226.82</v>
      </c>
      <c r="BU7">
        <v>138.9</v>
      </c>
      <c r="BV7">
        <v>-89.66</v>
      </c>
      <c r="BW7">
        <v>173.38</v>
      </c>
      <c r="BX7">
        <v>-6.87</v>
      </c>
      <c r="BY7">
        <v>-89.66</v>
      </c>
      <c r="BZ7">
        <v>-0.04</v>
      </c>
      <c r="CA7">
        <v>-0.68</v>
      </c>
      <c r="CB7">
        <v>2.02</v>
      </c>
      <c r="CD7">
        <v>5</v>
      </c>
      <c r="CE7">
        <v>2</v>
      </c>
      <c r="CF7">
        <v>0.5</v>
      </c>
      <c r="CG7" t="s">
        <v>84</v>
      </c>
      <c r="CH7">
        <v>-240.57</v>
      </c>
      <c r="CI7">
        <v>138.9</v>
      </c>
      <c r="CJ7">
        <v>-89.66</v>
      </c>
      <c r="CK7">
        <v>185.29</v>
      </c>
      <c r="CL7">
        <v>0</v>
      </c>
      <c r="CM7">
        <v>-89.66</v>
      </c>
      <c r="CN7">
        <v>0</v>
      </c>
      <c r="CO7">
        <v>-0.64</v>
      </c>
      <c r="CP7">
        <v>1.92</v>
      </c>
    </row>
    <row r="8" spans="1:94" x14ac:dyDescent="0.25">
      <c r="A8">
        <v>3</v>
      </c>
      <c r="B8">
        <v>-281.82</v>
      </c>
      <c r="C8">
        <v>-138.9</v>
      </c>
      <c r="D8">
        <v>-89.66</v>
      </c>
      <c r="E8">
        <v>-199.32</v>
      </c>
      <c r="F8">
        <v>-138.9</v>
      </c>
      <c r="G8">
        <v>-89.66</v>
      </c>
      <c r="H8">
        <v>-240.57</v>
      </c>
      <c r="I8">
        <v>-138.9</v>
      </c>
      <c r="J8">
        <v>-34.659999999999997</v>
      </c>
      <c r="L8">
        <v>0</v>
      </c>
      <c r="M8">
        <v>5</v>
      </c>
      <c r="N8">
        <v>0.5</v>
      </c>
      <c r="O8" t="s">
        <v>84</v>
      </c>
      <c r="P8">
        <v>240.57</v>
      </c>
      <c r="Q8">
        <v>-138.9</v>
      </c>
      <c r="R8">
        <v>-89.66</v>
      </c>
      <c r="S8">
        <v>185.29</v>
      </c>
      <c r="T8">
        <v>0</v>
      </c>
      <c r="U8">
        <v>-89.66</v>
      </c>
      <c r="V8">
        <v>0</v>
      </c>
      <c r="W8">
        <v>-0.64</v>
      </c>
      <c r="X8">
        <v>1.92</v>
      </c>
      <c r="Z8">
        <v>1</v>
      </c>
      <c r="AA8">
        <v>5</v>
      </c>
      <c r="AB8">
        <v>0.67</v>
      </c>
      <c r="AC8" t="s">
        <v>84</v>
      </c>
      <c r="AD8">
        <v>226.82</v>
      </c>
      <c r="AE8">
        <v>-138.9</v>
      </c>
      <c r="AF8">
        <v>-89.66</v>
      </c>
      <c r="AG8">
        <v>173.38</v>
      </c>
      <c r="AH8">
        <v>-6.88</v>
      </c>
      <c r="AI8">
        <v>-89.66</v>
      </c>
      <c r="AJ8">
        <v>-0.04</v>
      </c>
      <c r="AK8">
        <v>-0.68</v>
      </c>
      <c r="AL8">
        <v>2.02</v>
      </c>
      <c r="AN8">
        <v>2</v>
      </c>
      <c r="AO8">
        <v>5</v>
      </c>
      <c r="AP8">
        <v>0.83</v>
      </c>
      <c r="AQ8" t="s">
        <v>84</v>
      </c>
      <c r="AR8">
        <v>213.07</v>
      </c>
      <c r="AS8">
        <v>-138.9</v>
      </c>
      <c r="AT8">
        <v>-89.66</v>
      </c>
      <c r="AU8">
        <v>161.47</v>
      </c>
      <c r="AV8">
        <v>-13.75</v>
      </c>
      <c r="AW8">
        <v>-89.66</v>
      </c>
      <c r="AX8">
        <v>-0.08</v>
      </c>
      <c r="AY8">
        <v>-0.71</v>
      </c>
      <c r="AZ8">
        <v>2.12</v>
      </c>
      <c r="BB8">
        <v>3</v>
      </c>
      <c r="BC8">
        <v>5</v>
      </c>
      <c r="BD8">
        <v>0</v>
      </c>
      <c r="BE8" t="s">
        <v>83</v>
      </c>
      <c r="BF8">
        <v>281.82</v>
      </c>
      <c r="BG8">
        <v>-138.9</v>
      </c>
      <c r="BH8">
        <v>-89.66</v>
      </c>
      <c r="BI8">
        <v>221.01</v>
      </c>
      <c r="BJ8">
        <v>20.62</v>
      </c>
      <c r="BK8">
        <v>-89.66</v>
      </c>
      <c r="BL8">
        <v>0.09</v>
      </c>
      <c r="BM8">
        <v>-0.48</v>
      </c>
      <c r="BN8">
        <v>1.55</v>
      </c>
      <c r="BP8">
        <v>4</v>
      </c>
      <c r="BQ8">
        <v>5</v>
      </c>
      <c r="BR8">
        <v>0.17</v>
      </c>
      <c r="BS8" t="s">
        <v>84</v>
      </c>
      <c r="BT8">
        <v>268.07</v>
      </c>
      <c r="BU8">
        <v>-138.9</v>
      </c>
      <c r="BV8">
        <v>-89.66</v>
      </c>
      <c r="BW8">
        <v>209.11</v>
      </c>
      <c r="BX8">
        <v>13.75</v>
      </c>
      <c r="BY8">
        <v>-89.66</v>
      </c>
      <c r="BZ8">
        <v>7.0000000000000007E-2</v>
      </c>
      <c r="CA8">
        <v>-0.54</v>
      </c>
      <c r="CB8">
        <v>1.69</v>
      </c>
      <c r="CD8">
        <v>5</v>
      </c>
      <c r="CE8">
        <v>5</v>
      </c>
      <c r="CF8">
        <v>0.33</v>
      </c>
      <c r="CG8" t="s">
        <v>84</v>
      </c>
      <c r="CH8">
        <v>254.32</v>
      </c>
      <c r="CI8">
        <v>-138.9</v>
      </c>
      <c r="CJ8">
        <v>-89.66</v>
      </c>
      <c r="CK8">
        <v>197.2</v>
      </c>
      <c r="CL8">
        <v>6.87</v>
      </c>
      <c r="CM8">
        <v>-89.66</v>
      </c>
      <c r="CN8">
        <v>0.03</v>
      </c>
      <c r="CO8">
        <v>-0.6</v>
      </c>
      <c r="CP8">
        <v>1.81</v>
      </c>
    </row>
    <row r="9" spans="1:94" x14ac:dyDescent="0.25">
      <c r="A9">
        <v>4</v>
      </c>
      <c r="B9">
        <v>-41.25</v>
      </c>
      <c r="C9">
        <v>-277.79000000000002</v>
      </c>
      <c r="D9">
        <v>-89.66</v>
      </c>
      <c r="E9">
        <v>41.25</v>
      </c>
      <c r="F9">
        <v>-277.79000000000002</v>
      </c>
      <c r="G9">
        <v>-89.66</v>
      </c>
      <c r="H9">
        <v>0</v>
      </c>
      <c r="I9">
        <v>-277.79000000000002</v>
      </c>
      <c r="J9">
        <v>-34.659999999999997</v>
      </c>
      <c r="L9">
        <v>0</v>
      </c>
      <c r="M9">
        <v>1</v>
      </c>
      <c r="N9">
        <v>0.33</v>
      </c>
      <c r="O9" t="s">
        <v>84</v>
      </c>
      <c r="P9">
        <v>13.75</v>
      </c>
      <c r="Q9">
        <v>277.79000000000002</v>
      </c>
      <c r="R9">
        <v>-89.66</v>
      </c>
      <c r="S9">
        <v>185.29</v>
      </c>
      <c r="T9">
        <v>-13.75</v>
      </c>
      <c r="U9">
        <v>-89.66</v>
      </c>
      <c r="V9">
        <v>-7.0000000000000007E-2</v>
      </c>
      <c r="W9">
        <v>-0.64</v>
      </c>
      <c r="X9">
        <v>1.92</v>
      </c>
      <c r="Z9">
        <v>1</v>
      </c>
      <c r="AA9">
        <v>1</v>
      </c>
      <c r="AB9">
        <v>0.5</v>
      </c>
      <c r="AC9" t="s">
        <v>84</v>
      </c>
      <c r="AD9">
        <v>0</v>
      </c>
      <c r="AE9">
        <v>277.79000000000002</v>
      </c>
      <c r="AF9">
        <v>-89.66</v>
      </c>
      <c r="AG9">
        <v>185.29</v>
      </c>
      <c r="AH9">
        <v>0</v>
      </c>
      <c r="AI9">
        <v>-89.66</v>
      </c>
      <c r="AJ9">
        <v>0</v>
      </c>
      <c r="AK9">
        <v>-0.64</v>
      </c>
      <c r="AL9">
        <v>1.92</v>
      </c>
      <c r="AN9">
        <v>2</v>
      </c>
      <c r="AO9">
        <v>1</v>
      </c>
      <c r="AP9">
        <v>0.67</v>
      </c>
      <c r="AQ9" t="s">
        <v>84</v>
      </c>
      <c r="AR9">
        <v>-13.75</v>
      </c>
      <c r="AS9">
        <v>277.79000000000002</v>
      </c>
      <c r="AT9">
        <v>-89.66</v>
      </c>
      <c r="AU9">
        <v>185.29</v>
      </c>
      <c r="AV9">
        <v>13.75</v>
      </c>
      <c r="AW9">
        <v>-89.66</v>
      </c>
      <c r="AX9">
        <v>7.0000000000000007E-2</v>
      </c>
      <c r="AY9">
        <v>-0.64</v>
      </c>
      <c r="AZ9">
        <v>1.92</v>
      </c>
      <c r="BB9">
        <v>3</v>
      </c>
      <c r="BC9">
        <v>1</v>
      </c>
      <c r="BD9">
        <v>0.83</v>
      </c>
      <c r="BE9" t="s">
        <v>84</v>
      </c>
      <c r="BF9">
        <v>-27.5</v>
      </c>
      <c r="BG9">
        <v>277.79000000000002</v>
      </c>
      <c r="BH9">
        <v>-89.66</v>
      </c>
      <c r="BI9">
        <v>185.29</v>
      </c>
      <c r="BJ9">
        <v>27.5</v>
      </c>
      <c r="BK9">
        <v>-89.66</v>
      </c>
      <c r="BL9">
        <v>0.15</v>
      </c>
      <c r="BM9">
        <v>-0.64</v>
      </c>
      <c r="BN9">
        <v>1.9</v>
      </c>
      <c r="BP9">
        <v>4</v>
      </c>
      <c r="BQ9">
        <v>1</v>
      </c>
      <c r="BR9">
        <v>0</v>
      </c>
      <c r="BS9" t="s">
        <v>83</v>
      </c>
      <c r="BT9">
        <v>41.25</v>
      </c>
      <c r="BU9">
        <v>277.79000000000002</v>
      </c>
      <c r="BV9">
        <v>-89.66</v>
      </c>
      <c r="BW9">
        <v>185.29</v>
      </c>
      <c r="BX9">
        <v>-41.25</v>
      </c>
      <c r="BY9">
        <v>-89.66</v>
      </c>
      <c r="BZ9">
        <v>-0.22</v>
      </c>
      <c r="CA9">
        <v>-0.63</v>
      </c>
      <c r="CB9">
        <v>1.88</v>
      </c>
      <c r="CD9">
        <v>5</v>
      </c>
      <c r="CE9">
        <v>1</v>
      </c>
      <c r="CF9">
        <v>0.17</v>
      </c>
      <c r="CG9" t="s">
        <v>84</v>
      </c>
      <c r="CH9">
        <v>27.5</v>
      </c>
      <c r="CI9">
        <v>277.79000000000002</v>
      </c>
      <c r="CJ9">
        <v>-89.66</v>
      </c>
      <c r="CK9">
        <v>185.29</v>
      </c>
      <c r="CL9">
        <v>-27.5</v>
      </c>
      <c r="CM9">
        <v>-89.66</v>
      </c>
      <c r="CN9">
        <v>-0.15</v>
      </c>
      <c r="CO9">
        <v>-0.64</v>
      </c>
      <c r="CP9">
        <v>1.9</v>
      </c>
    </row>
    <row r="10" spans="1:94" x14ac:dyDescent="0.25">
      <c r="A10">
        <v>5</v>
      </c>
      <c r="B10">
        <v>199.32</v>
      </c>
      <c r="C10">
        <v>-138.9</v>
      </c>
      <c r="D10">
        <v>-89.66</v>
      </c>
      <c r="E10">
        <v>281.82</v>
      </c>
      <c r="F10">
        <v>-138.9</v>
      </c>
      <c r="G10">
        <v>-89.66</v>
      </c>
      <c r="H10">
        <v>240.57</v>
      </c>
      <c r="I10">
        <v>-138.9</v>
      </c>
      <c r="J10">
        <v>-34.659999999999997</v>
      </c>
      <c r="L10">
        <v>0</v>
      </c>
      <c r="M10">
        <v>3</v>
      </c>
      <c r="N10">
        <v>0.17</v>
      </c>
      <c r="O10" t="s">
        <v>84</v>
      </c>
      <c r="P10">
        <v>-213.07</v>
      </c>
      <c r="Q10">
        <v>-138.9</v>
      </c>
      <c r="R10">
        <v>-89.66</v>
      </c>
      <c r="S10">
        <v>161.47</v>
      </c>
      <c r="T10">
        <v>13.75</v>
      </c>
      <c r="U10">
        <v>-89.66</v>
      </c>
      <c r="V10">
        <v>0.08</v>
      </c>
      <c r="W10">
        <v>-0.71</v>
      </c>
      <c r="X10">
        <v>2.12</v>
      </c>
      <c r="Z10">
        <v>1</v>
      </c>
      <c r="AA10">
        <v>3</v>
      </c>
      <c r="AB10">
        <v>0.33</v>
      </c>
      <c r="AC10" t="s">
        <v>84</v>
      </c>
      <c r="AD10">
        <v>-226.82</v>
      </c>
      <c r="AE10">
        <v>-138.9</v>
      </c>
      <c r="AF10">
        <v>-89.66</v>
      </c>
      <c r="AG10">
        <v>173.38</v>
      </c>
      <c r="AH10">
        <v>6.88</v>
      </c>
      <c r="AI10">
        <v>-89.66</v>
      </c>
      <c r="AJ10">
        <v>0.04</v>
      </c>
      <c r="AK10">
        <v>-0.68</v>
      </c>
      <c r="AL10">
        <v>2.02</v>
      </c>
      <c r="AN10">
        <v>2</v>
      </c>
      <c r="AO10">
        <v>3</v>
      </c>
      <c r="AP10">
        <v>0.5</v>
      </c>
      <c r="AQ10" t="s">
        <v>84</v>
      </c>
      <c r="AR10">
        <v>-240.57</v>
      </c>
      <c r="AS10">
        <v>-138.9</v>
      </c>
      <c r="AT10">
        <v>-89.66</v>
      </c>
      <c r="AU10">
        <v>185.29</v>
      </c>
      <c r="AV10">
        <v>0</v>
      </c>
      <c r="AW10">
        <v>-89.66</v>
      </c>
      <c r="AX10">
        <v>0</v>
      </c>
      <c r="AY10">
        <v>-0.64</v>
      </c>
      <c r="AZ10">
        <v>1.92</v>
      </c>
      <c r="BB10">
        <v>3</v>
      </c>
      <c r="BC10">
        <v>3</v>
      </c>
      <c r="BD10">
        <v>0.67</v>
      </c>
      <c r="BE10" t="s">
        <v>84</v>
      </c>
      <c r="BF10">
        <v>-254.32</v>
      </c>
      <c r="BG10">
        <v>-138.9</v>
      </c>
      <c r="BH10">
        <v>-89.66</v>
      </c>
      <c r="BI10">
        <v>197.2</v>
      </c>
      <c r="BJ10">
        <v>-6.87</v>
      </c>
      <c r="BK10">
        <v>-89.66</v>
      </c>
      <c r="BL10">
        <v>-0.03</v>
      </c>
      <c r="BM10">
        <v>-0.6</v>
      </c>
      <c r="BN10">
        <v>1.81</v>
      </c>
      <c r="BP10">
        <v>4</v>
      </c>
      <c r="BQ10">
        <v>3</v>
      </c>
      <c r="BR10">
        <v>0.83</v>
      </c>
      <c r="BS10" t="s">
        <v>84</v>
      </c>
      <c r="BT10">
        <v>-268.07</v>
      </c>
      <c r="BU10">
        <v>-138.9</v>
      </c>
      <c r="BV10">
        <v>-89.66</v>
      </c>
      <c r="BW10">
        <v>209.11</v>
      </c>
      <c r="BX10">
        <v>-13.75</v>
      </c>
      <c r="BY10">
        <v>-89.66</v>
      </c>
      <c r="BZ10">
        <v>-7.0000000000000007E-2</v>
      </c>
      <c r="CA10">
        <v>-0.54</v>
      </c>
      <c r="CB10">
        <v>1.69</v>
      </c>
      <c r="CD10">
        <v>5</v>
      </c>
      <c r="CE10">
        <v>3</v>
      </c>
      <c r="CF10">
        <v>0</v>
      </c>
      <c r="CG10" t="s">
        <v>83</v>
      </c>
      <c r="CH10">
        <v>-199.32</v>
      </c>
      <c r="CI10">
        <v>-138.9</v>
      </c>
      <c r="CJ10">
        <v>-89.66</v>
      </c>
      <c r="CK10">
        <v>149.57</v>
      </c>
      <c r="CL10">
        <v>20.63</v>
      </c>
      <c r="CM10">
        <v>-89.66</v>
      </c>
      <c r="CN10">
        <v>0.14000000000000001</v>
      </c>
      <c r="CO10">
        <v>-0.73</v>
      </c>
      <c r="CP10">
        <v>2.21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D9F1-BCDE-4885-A2D9-0BB726E53328}">
  <dimension ref="A1:CP10"/>
  <sheetViews>
    <sheetView tabSelected="1" topLeftCell="BO1" workbookViewId="0">
      <selection activeCell="CD16" sqref="CD16"/>
    </sheetView>
  </sheetViews>
  <sheetFormatPr defaultRowHeight="15" x14ac:dyDescent="0.25"/>
  <sheetData>
    <row r="1" spans="1:94" x14ac:dyDescent="0.25">
      <c r="A1" s="1" t="s">
        <v>10</v>
      </c>
      <c r="B1" s="1" t="s">
        <v>11</v>
      </c>
      <c r="C1" s="1" t="s">
        <v>12</v>
      </c>
      <c r="D1" s="1" t="s">
        <v>13</v>
      </c>
    </row>
    <row r="2" spans="1:94" x14ac:dyDescent="0.25">
      <c r="A2">
        <v>110</v>
      </c>
      <c r="B2">
        <v>0</v>
      </c>
      <c r="C2">
        <v>110</v>
      </c>
      <c r="D2">
        <v>0</v>
      </c>
    </row>
    <row r="4" spans="1:94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/>
      <c r="L4" s="1" t="s">
        <v>85</v>
      </c>
      <c r="M4" s="1" t="s">
        <v>71</v>
      </c>
      <c r="N4" s="1" t="s">
        <v>72</v>
      </c>
      <c r="O4" s="1" t="s">
        <v>73</v>
      </c>
      <c r="P4" s="1" t="s">
        <v>74</v>
      </c>
      <c r="Q4" s="1" t="s">
        <v>75</v>
      </c>
      <c r="R4" s="1" t="s">
        <v>76</v>
      </c>
      <c r="S4" s="1" t="s">
        <v>77</v>
      </c>
      <c r="T4" s="1" t="s">
        <v>78</v>
      </c>
      <c r="U4" s="1" t="s">
        <v>79</v>
      </c>
      <c r="V4" s="1" t="s">
        <v>80</v>
      </c>
      <c r="W4" s="1" t="s">
        <v>81</v>
      </c>
      <c r="X4" s="1" t="s">
        <v>82</v>
      </c>
      <c r="Z4" t="s">
        <v>85</v>
      </c>
      <c r="AA4" s="1" t="s">
        <v>71</v>
      </c>
      <c r="AB4" s="1" t="s">
        <v>72</v>
      </c>
      <c r="AC4" s="1" t="s">
        <v>73</v>
      </c>
      <c r="AD4" s="1" t="s">
        <v>74</v>
      </c>
      <c r="AE4" s="1" t="s">
        <v>75</v>
      </c>
      <c r="AF4" s="1" t="s">
        <v>76</v>
      </c>
      <c r="AG4" s="1" t="s">
        <v>77</v>
      </c>
      <c r="AH4" s="1" t="s">
        <v>78</v>
      </c>
      <c r="AI4" s="1" t="s">
        <v>79</v>
      </c>
      <c r="AJ4" s="1" t="s">
        <v>80</v>
      </c>
      <c r="AK4" s="1" t="s">
        <v>81</v>
      </c>
      <c r="AL4" s="1" t="s">
        <v>82</v>
      </c>
      <c r="AN4" t="s">
        <v>85</v>
      </c>
      <c r="AO4" t="s">
        <v>71</v>
      </c>
      <c r="AP4" t="s">
        <v>72</v>
      </c>
      <c r="AQ4" t="s">
        <v>73</v>
      </c>
      <c r="AR4" t="s">
        <v>74</v>
      </c>
      <c r="AS4" t="s">
        <v>75</v>
      </c>
      <c r="AT4" t="s">
        <v>76</v>
      </c>
      <c r="AU4" t="s">
        <v>77</v>
      </c>
      <c r="AV4" t="s">
        <v>78</v>
      </c>
      <c r="AW4" t="s">
        <v>79</v>
      </c>
      <c r="AX4" t="s">
        <v>80</v>
      </c>
      <c r="AY4" t="s">
        <v>81</v>
      </c>
      <c r="AZ4" t="s">
        <v>82</v>
      </c>
      <c r="BB4" t="s">
        <v>85</v>
      </c>
      <c r="BC4" t="s">
        <v>71</v>
      </c>
      <c r="BD4" t="s">
        <v>72</v>
      </c>
      <c r="BE4" t="s">
        <v>73</v>
      </c>
      <c r="BF4" t="s">
        <v>74</v>
      </c>
      <c r="BG4" t="s">
        <v>75</v>
      </c>
      <c r="BH4" t="s">
        <v>76</v>
      </c>
      <c r="BI4" t="s">
        <v>77</v>
      </c>
      <c r="BJ4" t="s">
        <v>78</v>
      </c>
      <c r="BK4" t="s">
        <v>79</v>
      </c>
      <c r="BL4" t="s">
        <v>80</v>
      </c>
      <c r="BM4" t="s">
        <v>81</v>
      </c>
      <c r="BN4" t="s">
        <v>82</v>
      </c>
      <c r="BP4" t="s">
        <v>85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  <c r="BY4" t="s">
        <v>79</v>
      </c>
      <c r="BZ4" t="s">
        <v>80</v>
      </c>
      <c r="CA4" t="s">
        <v>81</v>
      </c>
      <c r="CB4" t="s">
        <v>82</v>
      </c>
      <c r="CD4" t="s">
        <v>85</v>
      </c>
      <c r="CE4" t="s">
        <v>71</v>
      </c>
      <c r="CF4" t="s">
        <v>72</v>
      </c>
      <c r="CG4" t="s">
        <v>73</v>
      </c>
      <c r="CH4" t="s">
        <v>74</v>
      </c>
      <c r="CI4" t="s">
        <v>75</v>
      </c>
      <c r="CJ4" t="s">
        <v>76</v>
      </c>
      <c r="CK4" t="s">
        <v>77</v>
      </c>
      <c r="CL4" t="s">
        <v>78</v>
      </c>
      <c r="CM4" t="s">
        <v>79</v>
      </c>
      <c r="CN4" t="s">
        <v>80</v>
      </c>
      <c r="CO4" t="s">
        <v>81</v>
      </c>
      <c r="CP4" t="s">
        <v>82</v>
      </c>
    </row>
    <row r="5" spans="1:94" x14ac:dyDescent="0.25">
      <c r="A5">
        <v>0</v>
      </c>
      <c r="B5">
        <v>199.32</v>
      </c>
      <c r="C5">
        <v>138.88999999999999</v>
      </c>
      <c r="D5">
        <v>-89.66</v>
      </c>
      <c r="E5">
        <v>281.82</v>
      </c>
      <c r="F5">
        <v>138.88999999999999</v>
      </c>
      <c r="G5">
        <v>-89.66</v>
      </c>
      <c r="H5">
        <v>240.57</v>
      </c>
      <c r="I5">
        <v>138.88999999999999</v>
      </c>
      <c r="J5">
        <v>-34.659999999999997</v>
      </c>
      <c r="L5">
        <v>0</v>
      </c>
      <c r="M5">
        <v>0</v>
      </c>
      <c r="N5">
        <v>0</v>
      </c>
      <c r="O5" t="s">
        <v>83</v>
      </c>
      <c r="P5">
        <v>281.82</v>
      </c>
      <c r="Q5">
        <v>138.88999999999999</v>
      </c>
      <c r="R5">
        <v>-34.659999999999997</v>
      </c>
      <c r="S5">
        <v>221.01</v>
      </c>
      <c r="T5">
        <v>-20.62</v>
      </c>
      <c r="U5">
        <v>-34.659999999999997</v>
      </c>
      <c r="V5">
        <v>-0.09</v>
      </c>
      <c r="W5">
        <v>-0.99</v>
      </c>
      <c r="X5">
        <v>1.81</v>
      </c>
      <c r="Z5">
        <v>1</v>
      </c>
      <c r="AA5">
        <v>0</v>
      </c>
      <c r="AB5">
        <v>0.2</v>
      </c>
      <c r="AC5" t="s">
        <v>84</v>
      </c>
      <c r="AD5">
        <v>265.32</v>
      </c>
      <c r="AE5">
        <v>138.88999999999999</v>
      </c>
      <c r="AF5">
        <v>-89.66</v>
      </c>
      <c r="AG5">
        <v>206.72</v>
      </c>
      <c r="AH5">
        <v>-12.38</v>
      </c>
      <c r="AI5">
        <v>-89.66</v>
      </c>
      <c r="AJ5">
        <v>-0.06</v>
      </c>
      <c r="AK5">
        <v>-0.56000000000000005</v>
      </c>
      <c r="AL5">
        <v>1.71</v>
      </c>
      <c r="AN5">
        <v>2</v>
      </c>
      <c r="AO5">
        <v>0</v>
      </c>
      <c r="AP5">
        <v>0.4</v>
      </c>
      <c r="AQ5" t="s">
        <v>84</v>
      </c>
      <c r="AR5">
        <v>248.82</v>
      </c>
      <c r="AS5">
        <v>138.88999999999999</v>
      </c>
      <c r="AT5">
        <v>-89.66</v>
      </c>
      <c r="AU5">
        <v>192.43</v>
      </c>
      <c r="AV5">
        <v>-4.13</v>
      </c>
      <c r="AW5">
        <v>-89.66</v>
      </c>
      <c r="AX5">
        <v>-0.02</v>
      </c>
      <c r="AY5">
        <v>-0.62</v>
      </c>
      <c r="AZ5">
        <v>1.85</v>
      </c>
      <c r="BB5">
        <v>3</v>
      </c>
      <c r="BC5">
        <v>0</v>
      </c>
      <c r="BD5">
        <v>0.6</v>
      </c>
      <c r="BE5" t="s">
        <v>84</v>
      </c>
      <c r="BF5">
        <v>232.32</v>
      </c>
      <c r="BG5">
        <v>138.88999999999999</v>
      </c>
      <c r="BH5">
        <v>-89.66</v>
      </c>
      <c r="BI5">
        <v>178.15</v>
      </c>
      <c r="BJ5">
        <v>4.13</v>
      </c>
      <c r="BK5">
        <v>-89.66</v>
      </c>
      <c r="BL5">
        <v>0.02</v>
      </c>
      <c r="BM5">
        <v>-0.67</v>
      </c>
      <c r="BN5">
        <v>1.98</v>
      </c>
      <c r="BP5">
        <v>4</v>
      </c>
      <c r="BQ5">
        <v>0</v>
      </c>
      <c r="BR5">
        <v>0.8</v>
      </c>
      <c r="BS5" t="s">
        <v>84</v>
      </c>
      <c r="BT5">
        <v>215.82</v>
      </c>
      <c r="BU5">
        <v>138.88999999999999</v>
      </c>
      <c r="BV5">
        <v>-89.66</v>
      </c>
      <c r="BW5">
        <v>163.86</v>
      </c>
      <c r="BX5">
        <v>12.38</v>
      </c>
      <c r="BY5">
        <v>-89.66</v>
      </c>
      <c r="BZ5">
        <v>0.08</v>
      </c>
      <c r="CA5">
        <v>-0.7</v>
      </c>
      <c r="CB5">
        <v>2.1</v>
      </c>
      <c r="CD5">
        <v>5</v>
      </c>
      <c r="CE5">
        <v>0</v>
      </c>
      <c r="CF5">
        <v>1</v>
      </c>
      <c r="CG5" t="s">
        <v>84</v>
      </c>
      <c r="CH5">
        <v>199.32</v>
      </c>
      <c r="CI5">
        <v>138.88999999999999</v>
      </c>
      <c r="CJ5">
        <v>-89.66</v>
      </c>
      <c r="CK5">
        <v>149.57</v>
      </c>
      <c r="CL5">
        <v>20.62</v>
      </c>
      <c r="CM5">
        <v>-89.66</v>
      </c>
      <c r="CN5">
        <v>0.14000000000000001</v>
      </c>
      <c r="CO5">
        <v>-0.73</v>
      </c>
      <c r="CP5">
        <v>2.21</v>
      </c>
    </row>
    <row r="6" spans="1:94" x14ac:dyDescent="0.25">
      <c r="A6">
        <v>1</v>
      </c>
      <c r="B6">
        <v>-41.25</v>
      </c>
      <c r="C6">
        <v>277.79000000000002</v>
      </c>
      <c r="D6">
        <v>-89.66</v>
      </c>
      <c r="E6">
        <v>41.25</v>
      </c>
      <c r="F6">
        <v>277.79000000000002</v>
      </c>
      <c r="G6">
        <v>-89.66</v>
      </c>
      <c r="H6">
        <v>0</v>
      </c>
      <c r="I6">
        <v>277.79000000000002</v>
      </c>
      <c r="J6">
        <v>-34.659999999999997</v>
      </c>
      <c r="L6">
        <v>0</v>
      </c>
      <c r="M6">
        <v>4</v>
      </c>
      <c r="N6">
        <v>1</v>
      </c>
      <c r="O6" t="s">
        <v>84</v>
      </c>
      <c r="P6">
        <v>-41.25</v>
      </c>
      <c r="Q6">
        <v>-277.79000000000002</v>
      </c>
      <c r="R6">
        <v>-89.66</v>
      </c>
      <c r="S6">
        <v>185.29</v>
      </c>
      <c r="T6">
        <v>-41.25</v>
      </c>
      <c r="U6">
        <v>-89.66</v>
      </c>
      <c r="V6">
        <v>-0.22</v>
      </c>
      <c r="W6">
        <v>-0.63</v>
      </c>
      <c r="X6">
        <v>1.88</v>
      </c>
      <c r="Z6">
        <v>1</v>
      </c>
      <c r="AA6">
        <v>4</v>
      </c>
      <c r="AB6">
        <v>0</v>
      </c>
      <c r="AC6" t="s">
        <v>83</v>
      </c>
      <c r="AD6">
        <v>41.25</v>
      </c>
      <c r="AE6">
        <v>-277.79000000000002</v>
      </c>
      <c r="AF6">
        <v>-34.659999999999997</v>
      </c>
      <c r="AG6">
        <v>185.29</v>
      </c>
      <c r="AH6">
        <v>41.25</v>
      </c>
      <c r="AI6">
        <v>-34.659999999999997</v>
      </c>
      <c r="AJ6">
        <v>0.22</v>
      </c>
      <c r="AK6">
        <v>-1.24</v>
      </c>
      <c r="AL6">
        <v>2.16</v>
      </c>
      <c r="AN6">
        <v>2</v>
      </c>
      <c r="AO6">
        <v>4</v>
      </c>
      <c r="AP6">
        <v>0.2</v>
      </c>
      <c r="AQ6" t="s">
        <v>84</v>
      </c>
      <c r="AR6">
        <v>24.75</v>
      </c>
      <c r="AS6">
        <v>-277.79000000000002</v>
      </c>
      <c r="AT6">
        <v>-89.66</v>
      </c>
      <c r="AU6">
        <v>185.29</v>
      </c>
      <c r="AV6">
        <v>24.75</v>
      </c>
      <c r="AW6">
        <v>-89.66</v>
      </c>
      <c r="AX6">
        <v>0.13</v>
      </c>
      <c r="AY6">
        <v>-0.64</v>
      </c>
      <c r="AZ6">
        <v>1.91</v>
      </c>
      <c r="BB6">
        <v>3</v>
      </c>
      <c r="BC6">
        <v>4</v>
      </c>
      <c r="BD6">
        <v>0.4</v>
      </c>
      <c r="BE6" t="s">
        <v>84</v>
      </c>
      <c r="BF6">
        <v>8.25</v>
      </c>
      <c r="BG6">
        <v>-277.79000000000002</v>
      </c>
      <c r="BH6">
        <v>-89.66</v>
      </c>
      <c r="BI6">
        <v>185.29</v>
      </c>
      <c r="BJ6">
        <v>8.25</v>
      </c>
      <c r="BK6">
        <v>-89.66</v>
      </c>
      <c r="BL6">
        <v>0.04</v>
      </c>
      <c r="BM6">
        <v>-0.64</v>
      </c>
      <c r="BN6">
        <v>1.92</v>
      </c>
      <c r="BP6">
        <v>4</v>
      </c>
      <c r="BQ6">
        <v>4</v>
      </c>
      <c r="BR6">
        <v>0.6</v>
      </c>
      <c r="BS6" t="s">
        <v>84</v>
      </c>
      <c r="BT6">
        <v>-8.25</v>
      </c>
      <c r="BU6">
        <v>-277.79000000000002</v>
      </c>
      <c r="BV6">
        <v>-89.66</v>
      </c>
      <c r="BW6">
        <v>185.29</v>
      </c>
      <c r="BX6">
        <v>-8.25</v>
      </c>
      <c r="BY6">
        <v>-89.66</v>
      </c>
      <c r="BZ6">
        <v>-0.04</v>
      </c>
      <c r="CA6">
        <v>-0.64</v>
      </c>
      <c r="CB6">
        <v>1.92</v>
      </c>
      <c r="CD6">
        <v>5</v>
      </c>
      <c r="CE6">
        <v>4</v>
      </c>
      <c r="CF6">
        <v>0.8</v>
      </c>
      <c r="CG6" t="s">
        <v>84</v>
      </c>
      <c r="CH6">
        <v>-24.75</v>
      </c>
      <c r="CI6">
        <v>-277.79000000000002</v>
      </c>
      <c r="CJ6">
        <v>-89.66</v>
      </c>
      <c r="CK6">
        <v>185.29</v>
      </c>
      <c r="CL6">
        <v>-24.75</v>
      </c>
      <c r="CM6">
        <v>-89.66</v>
      </c>
      <c r="CN6">
        <v>-0.13</v>
      </c>
      <c r="CO6">
        <v>-0.64</v>
      </c>
      <c r="CP6">
        <v>1.91</v>
      </c>
    </row>
    <row r="7" spans="1:94" x14ac:dyDescent="0.25">
      <c r="A7">
        <v>2</v>
      </c>
      <c r="B7">
        <v>-281.82</v>
      </c>
      <c r="C7">
        <v>138.9</v>
      </c>
      <c r="D7">
        <v>-89.66</v>
      </c>
      <c r="E7">
        <v>-199.32</v>
      </c>
      <c r="F7">
        <v>138.9</v>
      </c>
      <c r="G7">
        <v>-89.66</v>
      </c>
      <c r="H7">
        <v>-240.57</v>
      </c>
      <c r="I7">
        <v>138.9</v>
      </c>
      <c r="J7">
        <v>-34.659999999999997</v>
      </c>
      <c r="L7">
        <v>0</v>
      </c>
      <c r="M7">
        <v>2</v>
      </c>
      <c r="N7">
        <v>0.8</v>
      </c>
      <c r="O7" t="s">
        <v>84</v>
      </c>
      <c r="P7">
        <v>-265.32</v>
      </c>
      <c r="Q7">
        <v>138.9</v>
      </c>
      <c r="R7">
        <v>-89.66</v>
      </c>
      <c r="S7">
        <v>206.72</v>
      </c>
      <c r="T7">
        <v>12.38</v>
      </c>
      <c r="U7">
        <v>-89.66</v>
      </c>
      <c r="V7">
        <v>0.06</v>
      </c>
      <c r="W7">
        <v>-0.56000000000000005</v>
      </c>
      <c r="X7">
        <v>1.71</v>
      </c>
      <c r="Z7">
        <v>1</v>
      </c>
      <c r="AA7">
        <v>2</v>
      </c>
      <c r="AB7">
        <v>1</v>
      </c>
      <c r="AC7" t="s">
        <v>84</v>
      </c>
      <c r="AD7">
        <v>-281.82</v>
      </c>
      <c r="AE7">
        <v>138.9</v>
      </c>
      <c r="AF7">
        <v>-89.66</v>
      </c>
      <c r="AG7">
        <v>221.01</v>
      </c>
      <c r="AH7">
        <v>20.63</v>
      </c>
      <c r="AI7">
        <v>-89.66</v>
      </c>
      <c r="AJ7">
        <v>0.09</v>
      </c>
      <c r="AK7">
        <v>-0.48</v>
      </c>
      <c r="AL7">
        <v>1.55</v>
      </c>
      <c r="AN7">
        <v>2</v>
      </c>
      <c r="AO7">
        <v>2</v>
      </c>
      <c r="AP7">
        <v>0</v>
      </c>
      <c r="AQ7" t="s">
        <v>83</v>
      </c>
      <c r="AR7">
        <v>-199.32</v>
      </c>
      <c r="AS7">
        <v>138.9</v>
      </c>
      <c r="AT7">
        <v>-34.659999999999997</v>
      </c>
      <c r="AU7">
        <v>149.57</v>
      </c>
      <c r="AV7">
        <v>-20.62</v>
      </c>
      <c r="AW7">
        <v>-34.659999999999997</v>
      </c>
      <c r="AX7">
        <v>-0.14000000000000001</v>
      </c>
      <c r="AY7">
        <v>-1.6</v>
      </c>
      <c r="AZ7">
        <v>2.58</v>
      </c>
      <c r="BB7">
        <v>3</v>
      </c>
      <c r="BC7">
        <v>2</v>
      </c>
      <c r="BD7">
        <v>0.2</v>
      </c>
      <c r="BE7" t="s">
        <v>84</v>
      </c>
      <c r="BF7">
        <v>-215.82</v>
      </c>
      <c r="BG7">
        <v>138.9</v>
      </c>
      <c r="BH7">
        <v>-89.66</v>
      </c>
      <c r="BI7">
        <v>163.86</v>
      </c>
      <c r="BJ7">
        <v>-12.37</v>
      </c>
      <c r="BK7">
        <v>-89.66</v>
      </c>
      <c r="BL7">
        <v>-0.08</v>
      </c>
      <c r="BM7">
        <v>-0.7</v>
      </c>
      <c r="BN7">
        <v>2.1</v>
      </c>
      <c r="BP7">
        <v>4</v>
      </c>
      <c r="BQ7">
        <v>2</v>
      </c>
      <c r="BR7">
        <v>0.4</v>
      </c>
      <c r="BS7" t="s">
        <v>84</v>
      </c>
      <c r="BT7">
        <v>-232.32</v>
      </c>
      <c r="BU7">
        <v>138.9</v>
      </c>
      <c r="BV7">
        <v>-89.66</v>
      </c>
      <c r="BW7">
        <v>178.15</v>
      </c>
      <c r="BX7">
        <v>-4.12</v>
      </c>
      <c r="BY7">
        <v>-89.66</v>
      </c>
      <c r="BZ7">
        <v>-0.02</v>
      </c>
      <c r="CA7">
        <v>-0.67</v>
      </c>
      <c r="CB7">
        <v>1.98</v>
      </c>
      <c r="CD7">
        <v>5</v>
      </c>
      <c r="CE7">
        <v>2</v>
      </c>
      <c r="CF7">
        <v>0.6</v>
      </c>
      <c r="CG7" t="s">
        <v>84</v>
      </c>
      <c r="CH7">
        <v>-248.82</v>
      </c>
      <c r="CI7">
        <v>138.9</v>
      </c>
      <c r="CJ7">
        <v>-89.66</v>
      </c>
      <c r="CK7">
        <v>192.43</v>
      </c>
      <c r="CL7">
        <v>4.13</v>
      </c>
      <c r="CM7">
        <v>-89.66</v>
      </c>
      <c r="CN7">
        <v>0.02</v>
      </c>
      <c r="CO7">
        <v>-0.62</v>
      </c>
      <c r="CP7">
        <v>1.85</v>
      </c>
    </row>
    <row r="8" spans="1:94" x14ac:dyDescent="0.25">
      <c r="A8">
        <v>3</v>
      </c>
      <c r="B8">
        <v>-281.82</v>
      </c>
      <c r="C8">
        <v>-138.9</v>
      </c>
      <c r="D8">
        <v>-89.66</v>
      </c>
      <c r="E8">
        <v>-199.32</v>
      </c>
      <c r="F8">
        <v>-138.9</v>
      </c>
      <c r="G8">
        <v>-89.66</v>
      </c>
      <c r="H8">
        <v>-240.57</v>
      </c>
      <c r="I8">
        <v>-138.9</v>
      </c>
      <c r="J8">
        <v>-34.659999999999997</v>
      </c>
      <c r="L8">
        <v>0</v>
      </c>
      <c r="M8">
        <v>5</v>
      </c>
      <c r="N8">
        <v>0.6</v>
      </c>
      <c r="O8" t="s">
        <v>84</v>
      </c>
      <c r="P8">
        <v>232.32</v>
      </c>
      <c r="Q8">
        <v>-138.9</v>
      </c>
      <c r="R8">
        <v>-89.66</v>
      </c>
      <c r="S8">
        <v>178.15</v>
      </c>
      <c r="T8">
        <v>-4.13</v>
      </c>
      <c r="U8">
        <v>-89.66</v>
      </c>
      <c r="V8">
        <v>-0.02</v>
      </c>
      <c r="W8">
        <v>-0.67</v>
      </c>
      <c r="X8">
        <v>1.98</v>
      </c>
      <c r="Z8">
        <v>1</v>
      </c>
      <c r="AA8">
        <v>5</v>
      </c>
      <c r="AB8">
        <v>0.8</v>
      </c>
      <c r="AC8" t="s">
        <v>84</v>
      </c>
      <c r="AD8">
        <v>215.82</v>
      </c>
      <c r="AE8">
        <v>-138.9</v>
      </c>
      <c r="AF8">
        <v>-89.66</v>
      </c>
      <c r="AG8">
        <v>163.86</v>
      </c>
      <c r="AH8">
        <v>-12.38</v>
      </c>
      <c r="AI8">
        <v>-89.66</v>
      </c>
      <c r="AJ8">
        <v>-0.08</v>
      </c>
      <c r="AK8">
        <v>-0.7</v>
      </c>
      <c r="AL8">
        <v>2.1</v>
      </c>
      <c r="AN8">
        <v>2</v>
      </c>
      <c r="AO8">
        <v>5</v>
      </c>
      <c r="AP8">
        <v>1</v>
      </c>
      <c r="AQ8" t="s">
        <v>84</v>
      </c>
      <c r="AR8">
        <v>199.32</v>
      </c>
      <c r="AS8">
        <v>-138.9</v>
      </c>
      <c r="AT8">
        <v>-89.66</v>
      </c>
      <c r="AU8">
        <v>149.57</v>
      </c>
      <c r="AV8">
        <v>-20.63</v>
      </c>
      <c r="AW8">
        <v>-89.66</v>
      </c>
      <c r="AX8">
        <v>-0.14000000000000001</v>
      </c>
      <c r="AY8">
        <v>-0.73</v>
      </c>
      <c r="AZ8">
        <v>2.21</v>
      </c>
      <c r="BB8">
        <v>3</v>
      </c>
      <c r="BC8">
        <v>5</v>
      </c>
      <c r="BD8">
        <v>0</v>
      </c>
      <c r="BE8" t="s">
        <v>83</v>
      </c>
      <c r="BF8">
        <v>281.82</v>
      </c>
      <c r="BG8">
        <v>-138.9</v>
      </c>
      <c r="BH8">
        <v>-34.659999999999997</v>
      </c>
      <c r="BI8">
        <v>221.01</v>
      </c>
      <c r="BJ8">
        <v>20.62</v>
      </c>
      <c r="BK8">
        <v>-34.659999999999997</v>
      </c>
      <c r="BL8">
        <v>0.09</v>
      </c>
      <c r="BM8">
        <v>-0.99</v>
      </c>
      <c r="BN8">
        <v>1.81</v>
      </c>
      <c r="BP8">
        <v>4</v>
      </c>
      <c r="BQ8">
        <v>5</v>
      </c>
      <c r="BR8">
        <v>0.2</v>
      </c>
      <c r="BS8" t="s">
        <v>84</v>
      </c>
      <c r="BT8">
        <v>265.32</v>
      </c>
      <c r="BU8">
        <v>-138.9</v>
      </c>
      <c r="BV8">
        <v>-89.66</v>
      </c>
      <c r="BW8">
        <v>206.72</v>
      </c>
      <c r="BX8">
        <v>12.37</v>
      </c>
      <c r="BY8">
        <v>-89.66</v>
      </c>
      <c r="BZ8">
        <v>0.06</v>
      </c>
      <c r="CA8">
        <v>-0.56000000000000005</v>
      </c>
      <c r="CB8">
        <v>1.71</v>
      </c>
      <c r="CD8">
        <v>5</v>
      </c>
      <c r="CE8">
        <v>5</v>
      </c>
      <c r="CF8">
        <v>0.4</v>
      </c>
      <c r="CG8" t="s">
        <v>84</v>
      </c>
      <c r="CH8">
        <v>248.82</v>
      </c>
      <c r="CI8">
        <v>-138.9</v>
      </c>
      <c r="CJ8">
        <v>-89.66</v>
      </c>
      <c r="CK8">
        <v>192.43</v>
      </c>
      <c r="CL8">
        <v>4.12</v>
      </c>
      <c r="CM8">
        <v>-89.66</v>
      </c>
      <c r="CN8">
        <v>0.02</v>
      </c>
      <c r="CO8">
        <v>-0.62</v>
      </c>
      <c r="CP8">
        <v>1.85</v>
      </c>
    </row>
    <row r="9" spans="1:94" x14ac:dyDescent="0.25">
      <c r="A9">
        <v>4</v>
      </c>
      <c r="B9">
        <v>-41.25</v>
      </c>
      <c r="C9">
        <v>-277.79000000000002</v>
      </c>
      <c r="D9">
        <v>-89.66</v>
      </c>
      <c r="E9">
        <v>41.25</v>
      </c>
      <c r="F9">
        <v>-277.79000000000002</v>
      </c>
      <c r="G9">
        <v>-89.66</v>
      </c>
      <c r="H9">
        <v>0</v>
      </c>
      <c r="I9">
        <v>-277.79000000000002</v>
      </c>
      <c r="J9">
        <v>-34.659999999999997</v>
      </c>
      <c r="L9">
        <v>0</v>
      </c>
      <c r="M9">
        <v>1</v>
      </c>
      <c r="N9">
        <v>0.4</v>
      </c>
      <c r="O9" t="s">
        <v>84</v>
      </c>
      <c r="P9">
        <v>8.25</v>
      </c>
      <c r="Q9">
        <v>277.79000000000002</v>
      </c>
      <c r="R9">
        <v>-89.66</v>
      </c>
      <c r="S9">
        <v>185.29</v>
      </c>
      <c r="T9">
        <v>-8.25</v>
      </c>
      <c r="U9">
        <v>-89.66</v>
      </c>
      <c r="V9">
        <v>-0.04</v>
      </c>
      <c r="W9">
        <v>-0.64</v>
      </c>
      <c r="X9">
        <v>1.92</v>
      </c>
      <c r="Z9">
        <v>1</v>
      </c>
      <c r="AA9">
        <v>1</v>
      </c>
      <c r="AB9">
        <v>0.6</v>
      </c>
      <c r="AC9" t="s">
        <v>84</v>
      </c>
      <c r="AD9">
        <v>-8.25</v>
      </c>
      <c r="AE9">
        <v>277.79000000000002</v>
      </c>
      <c r="AF9">
        <v>-89.66</v>
      </c>
      <c r="AG9">
        <v>185.29</v>
      </c>
      <c r="AH9">
        <v>8.25</v>
      </c>
      <c r="AI9">
        <v>-89.66</v>
      </c>
      <c r="AJ9">
        <v>0.04</v>
      </c>
      <c r="AK9">
        <v>-0.64</v>
      </c>
      <c r="AL9">
        <v>1.92</v>
      </c>
      <c r="AN9">
        <v>2</v>
      </c>
      <c r="AO9">
        <v>1</v>
      </c>
      <c r="AP9">
        <v>0.8</v>
      </c>
      <c r="AQ9" t="s">
        <v>84</v>
      </c>
      <c r="AR9">
        <v>-24.75</v>
      </c>
      <c r="AS9">
        <v>277.79000000000002</v>
      </c>
      <c r="AT9">
        <v>-89.66</v>
      </c>
      <c r="AU9">
        <v>185.29</v>
      </c>
      <c r="AV9">
        <v>24.75</v>
      </c>
      <c r="AW9">
        <v>-89.66</v>
      </c>
      <c r="AX9">
        <v>0.13</v>
      </c>
      <c r="AY9">
        <v>-0.64</v>
      </c>
      <c r="AZ9">
        <v>1.91</v>
      </c>
      <c r="BB9">
        <v>3</v>
      </c>
      <c r="BC9">
        <v>1</v>
      </c>
      <c r="BD9">
        <v>1</v>
      </c>
      <c r="BE9" t="s">
        <v>84</v>
      </c>
      <c r="BF9">
        <v>-41.25</v>
      </c>
      <c r="BG9">
        <v>277.79000000000002</v>
      </c>
      <c r="BH9">
        <v>-89.66</v>
      </c>
      <c r="BI9">
        <v>185.29</v>
      </c>
      <c r="BJ9">
        <v>41.25</v>
      </c>
      <c r="BK9">
        <v>-89.66</v>
      </c>
      <c r="BL9">
        <v>0.22</v>
      </c>
      <c r="BM9">
        <v>-0.63</v>
      </c>
      <c r="BN9">
        <v>1.88</v>
      </c>
      <c r="BP9">
        <v>4</v>
      </c>
      <c r="BQ9">
        <v>1</v>
      </c>
      <c r="BR9">
        <v>0</v>
      </c>
      <c r="BS9" t="s">
        <v>83</v>
      </c>
      <c r="BT9">
        <v>41.25</v>
      </c>
      <c r="BU9">
        <v>277.79000000000002</v>
      </c>
      <c r="BV9">
        <v>-34.659999999999997</v>
      </c>
      <c r="BW9">
        <v>185.29</v>
      </c>
      <c r="BX9">
        <v>-41.25</v>
      </c>
      <c r="BY9">
        <v>-34.659999999999997</v>
      </c>
      <c r="BZ9">
        <v>-0.22</v>
      </c>
      <c r="CA9">
        <v>-1.24</v>
      </c>
      <c r="CB9">
        <v>2.16</v>
      </c>
      <c r="CD9">
        <v>5</v>
      </c>
      <c r="CE9">
        <v>1</v>
      </c>
      <c r="CF9">
        <v>0.2</v>
      </c>
      <c r="CG9" t="s">
        <v>84</v>
      </c>
      <c r="CH9">
        <v>24.75</v>
      </c>
      <c r="CI9">
        <v>277.79000000000002</v>
      </c>
      <c r="CJ9">
        <v>-89.66</v>
      </c>
      <c r="CK9">
        <v>185.29</v>
      </c>
      <c r="CL9">
        <v>-24.75</v>
      </c>
      <c r="CM9">
        <v>-89.66</v>
      </c>
      <c r="CN9">
        <v>-0.13</v>
      </c>
      <c r="CO9">
        <v>-0.64</v>
      </c>
      <c r="CP9">
        <v>1.91</v>
      </c>
    </row>
    <row r="10" spans="1:94" x14ac:dyDescent="0.25">
      <c r="A10">
        <v>5</v>
      </c>
      <c r="B10">
        <v>199.32</v>
      </c>
      <c r="C10">
        <v>-138.9</v>
      </c>
      <c r="D10">
        <v>-89.66</v>
      </c>
      <c r="E10">
        <v>281.82</v>
      </c>
      <c r="F10">
        <v>-138.9</v>
      </c>
      <c r="G10">
        <v>-89.66</v>
      </c>
      <c r="H10">
        <v>240.57</v>
      </c>
      <c r="I10">
        <v>-138.9</v>
      </c>
      <c r="J10">
        <v>-34.659999999999997</v>
      </c>
      <c r="L10">
        <v>0</v>
      </c>
      <c r="M10">
        <v>3</v>
      </c>
      <c r="N10">
        <v>0.2</v>
      </c>
      <c r="O10" t="s">
        <v>84</v>
      </c>
      <c r="P10">
        <v>-215.82</v>
      </c>
      <c r="Q10">
        <v>-138.9</v>
      </c>
      <c r="R10">
        <v>-89.66</v>
      </c>
      <c r="S10">
        <v>163.86</v>
      </c>
      <c r="T10">
        <v>12.38</v>
      </c>
      <c r="U10">
        <v>-89.66</v>
      </c>
      <c r="V10">
        <v>0.08</v>
      </c>
      <c r="W10">
        <v>-0.7</v>
      </c>
      <c r="X10">
        <v>2.1</v>
      </c>
      <c r="Z10">
        <v>1</v>
      </c>
      <c r="AA10">
        <v>3</v>
      </c>
      <c r="AB10">
        <v>0.4</v>
      </c>
      <c r="AC10" t="s">
        <v>84</v>
      </c>
      <c r="AD10">
        <v>-232.32</v>
      </c>
      <c r="AE10">
        <v>-138.9</v>
      </c>
      <c r="AF10">
        <v>-89.66</v>
      </c>
      <c r="AG10">
        <v>178.15</v>
      </c>
      <c r="AH10">
        <v>4.13</v>
      </c>
      <c r="AI10">
        <v>-89.66</v>
      </c>
      <c r="AJ10">
        <v>0.02</v>
      </c>
      <c r="AK10">
        <v>-0.67</v>
      </c>
      <c r="AL10">
        <v>1.98</v>
      </c>
      <c r="AN10">
        <v>2</v>
      </c>
      <c r="AO10">
        <v>3</v>
      </c>
      <c r="AP10">
        <v>0.6</v>
      </c>
      <c r="AQ10" t="s">
        <v>84</v>
      </c>
      <c r="AR10">
        <v>-248.82</v>
      </c>
      <c r="AS10">
        <v>-138.9</v>
      </c>
      <c r="AT10">
        <v>-89.66</v>
      </c>
      <c r="AU10">
        <v>192.43</v>
      </c>
      <c r="AV10">
        <v>-4.12</v>
      </c>
      <c r="AW10">
        <v>-89.66</v>
      </c>
      <c r="AX10">
        <v>-0.02</v>
      </c>
      <c r="AY10">
        <v>-0.62</v>
      </c>
      <c r="AZ10">
        <v>1.85</v>
      </c>
      <c r="BB10">
        <v>3</v>
      </c>
      <c r="BC10">
        <v>3</v>
      </c>
      <c r="BD10">
        <v>0.8</v>
      </c>
      <c r="BE10" t="s">
        <v>84</v>
      </c>
      <c r="BF10">
        <v>-265.32</v>
      </c>
      <c r="BG10">
        <v>-138.9</v>
      </c>
      <c r="BH10">
        <v>-89.66</v>
      </c>
      <c r="BI10">
        <v>206.72</v>
      </c>
      <c r="BJ10">
        <v>-12.37</v>
      </c>
      <c r="BK10">
        <v>-89.66</v>
      </c>
      <c r="BL10">
        <v>-0.06</v>
      </c>
      <c r="BM10">
        <v>-0.56000000000000005</v>
      </c>
      <c r="BN10">
        <v>1.71</v>
      </c>
      <c r="BP10">
        <v>4</v>
      </c>
      <c r="BQ10">
        <v>3</v>
      </c>
      <c r="BR10">
        <v>1</v>
      </c>
      <c r="BS10" t="s">
        <v>84</v>
      </c>
      <c r="BT10">
        <v>-281.82</v>
      </c>
      <c r="BU10">
        <v>-138.9</v>
      </c>
      <c r="BV10">
        <v>-89.66</v>
      </c>
      <c r="BW10">
        <v>221.01</v>
      </c>
      <c r="BX10">
        <v>-20.62</v>
      </c>
      <c r="BY10">
        <v>-89.66</v>
      </c>
      <c r="BZ10">
        <v>-0.09</v>
      </c>
      <c r="CA10">
        <v>-0.48</v>
      </c>
      <c r="CB10">
        <v>1.55</v>
      </c>
      <c r="CD10">
        <v>5</v>
      </c>
      <c r="CE10">
        <v>3</v>
      </c>
      <c r="CF10">
        <v>0</v>
      </c>
      <c r="CG10" t="s">
        <v>83</v>
      </c>
      <c r="CH10">
        <v>-199.32</v>
      </c>
      <c r="CI10">
        <v>-138.9</v>
      </c>
      <c r="CJ10">
        <v>-34.659999999999997</v>
      </c>
      <c r="CK10">
        <v>149.57</v>
      </c>
      <c r="CL10">
        <v>20.63</v>
      </c>
      <c r="CM10">
        <v>-34.659999999999997</v>
      </c>
      <c r="CN10">
        <v>0.14000000000000001</v>
      </c>
      <c r="CO10">
        <v>-1.6</v>
      </c>
      <c r="CP10">
        <v>2.58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X</vt:lpstr>
      <vt:lpstr>Y</vt:lpstr>
      <vt:lpstr>XY</vt:lpstr>
      <vt:lpstr>W</vt:lpstr>
      <vt:lpstr>XYW</vt:lpstr>
      <vt:lpstr>RC Calculations</vt:lpstr>
      <vt:lpstr>Ripple Phase</vt:lpstr>
      <vt:lpstr>X Ripple</vt:lpstr>
      <vt:lpstr>X Ripple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 Vadeboncoeur</dc:creator>
  <cp:lastModifiedBy>Evan  Vadeboncoeur</cp:lastModifiedBy>
  <dcterms:created xsi:type="dcterms:W3CDTF">2026-07-02T17:54:11Z</dcterms:created>
  <dcterms:modified xsi:type="dcterms:W3CDTF">2026-07-21T19:54:13Z</dcterms:modified>
</cp:coreProperties>
</file>