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EC3832CC-6491-4431-88F7-879DDF8DCF33}" xr6:coauthVersionLast="47" xr6:coauthVersionMax="47" xr10:uidLastSave="{00000000-0000-0000-0000-000000000000}"/>
  <bookViews>
    <workbookView xWindow="-28920" yWindow="-120" windowWidth="29040" windowHeight="15720" activeTab="7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  <sheet name="Ripple Phase" sheetId="7" r:id="rId7"/>
    <sheet name="X Ripple 15" sheetId="9" r:id="rId8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7" hidden="1">'X Ripple 15'!$A$4:$A$10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7" l="1"/>
  <c r="H5" i="7"/>
  <c r="H6" i="7"/>
  <c r="H7" i="7"/>
  <c r="H8" i="7"/>
  <c r="H9" i="7"/>
  <c r="B3" i="7"/>
  <c r="G14" i="6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</calcChain>
</file>

<file path=xl/sharedStrings.xml><?xml version="1.0" encoding="utf-8"?>
<sst xmlns="http://schemas.openxmlformats.org/spreadsheetml/2006/main" count="315" uniqueCount="92">
  <si>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</si>
  <si>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</si>
  <si>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</si>
  <si>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</si>
  <si>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</si>
  <si>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</si>
  <si>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</si>
  <si>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</si>
  <si>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</si>
  <si>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</si>
  <si>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</si>
  <si>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</si>
  <si>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</si>
  <si>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</si>
  <si>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</si>
  <si>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</si>
  <si>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</si>
  <si>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</si>
  <si>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</si>
  <si>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</si>
  <si>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</si>
  <si>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</si>
  <si>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</si>
  <si>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</si>
  <si>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</si>
  <si>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</si>
  <si>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</si>
  <si>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</si>
  <si>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</si>
  <si>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</si>
  <si>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</si>
  <si>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</si>
  <si>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</si>
  <si>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</si>
  <si>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</si>
  <si>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</si>
  <si>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</si>
  <si>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</si>
  <si>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</si>
  <si>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</si>
  <si>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</si>
  <si>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</si>
  <si>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</si>
  <si>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</si>
  <si>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</si>
  <si>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</si>
  <si>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</si>
  <si>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</si>
  <si>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</si>
  <si>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</si>
  <si>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</si>
  <si>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</si>
  <si>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</si>
  <si>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</si>
  <si>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</si>
  <si>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</si>
  <si>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</si>
  <si>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</si>
  <si>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</si>
  <si>
    <t>RC</t>
  </si>
  <si>
    <t>Leg 0</t>
  </si>
  <si>
    <t>Leg 1</t>
  </si>
  <si>
    <t>Leg 2</t>
  </si>
  <si>
    <t>Leg 3</t>
  </si>
  <si>
    <t>Leg 4</t>
  </si>
  <si>
    <t>Leg 5</t>
  </si>
  <si>
    <t>s</t>
  </si>
  <si>
    <t>Cycle Const</t>
  </si>
  <si>
    <t>s_total</t>
  </si>
  <si>
    <t>i</t>
  </si>
  <si>
    <t>-</t>
  </si>
  <si>
    <t>Leg:</t>
  </si>
  <si>
    <t>S</t>
  </si>
  <si>
    <t>SW/ST:</t>
  </si>
  <si>
    <t>X_B:</t>
  </si>
  <si>
    <t>Y_B:</t>
  </si>
  <si>
    <t>Z_B:</t>
  </si>
  <si>
    <t>X_F:</t>
  </si>
  <si>
    <t>Y_F:</t>
  </si>
  <si>
    <t>Z_F:</t>
  </si>
  <si>
    <t>J0:</t>
  </si>
  <si>
    <t>J1:</t>
  </si>
  <si>
    <t>J2:</t>
  </si>
  <si>
    <t>SW</t>
  </si>
  <si>
    <t>ST</t>
  </si>
  <si>
    <t>RC:</t>
  </si>
  <si>
    <t>0       199.32  138.89  -89.66  281.82  138.89  -89.66  240.57  138.89  -34.66</t>
  </si>
  <si>
    <t>1       -41.25  277.79  -89.66  41.25   277.79  -89.66  -0.00   277.79  -34.66</t>
  </si>
  <si>
    <t>2       -281.82 138.90  -89.66  -199.32 138.90  -89.66  -240.57 138.90  -34.66</t>
  </si>
  <si>
    <t>3       -281.82 -138.90 -89.66  -199.32 -138.90 -89.66  -240.57 -138.90 -34.66</t>
  </si>
  <si>
    <t>4       -41.25  -277.79 -89.66  41.25   -277.79 -89.66  0.00    -277.79 -34.66</t>
  </si>
  <si>
    <t>5       199.32  -138.90 -89.66  281.82  -138.90 -89.66  240.57  -138.90 -34.66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</si>
</sst>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X!$Q$5:$Q$10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9D-4B65-A818-262D4BEFB84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X!$S$5:$S$10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X!$T$5:$T$10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9D-4B65-A818-262D4BEFB84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X!$V$5:$V$10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X!$W$5:$W$10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9D-4B65-A818-262D4BEFB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18-4231-B868-2DB835D9483D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8-4231-B868-2DB835D9483D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18-4231-B868-2DB835D94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[0,1/6]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4217-B44D-9F6E84B3DF2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4217-B44D-9F6E84B3DF2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04-4217-B44D-9F6E84B3DF27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15'!$P$5:$P$10</c:f>
              <c:numCache>
                <c:formatCode>General</c:formatCode>
                <c:ptCount val="6"/>
                <c:pt idx="0">
                  <c:v>281.82</c:v>
                </c:pt>
                <c:pt idx="1">
                  <c:v>-41.25</c:v>
                </c:pt>
                <c:pt idx="2">
                  <c:v>-265.32</c:v>
                </c:pt>
                <c:pt idx="3">
                  <c:v>-248.82</c:v>
                </c:pt>
                <c:pt idx="4">
                  <c:v>8.25</c:v>
                </c:pt>
                <c:pt idx="5">
                  <c:v>265.32</c:v>
                </c:pt>
              </c:numCache>
            </c:numRef>
          </c:xVal>
          <c:yVal>
            <c:numRef>
              <c:f>'X Ripple 15'!$Q$5:$Q$10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04-4217-B44D-9F6E84B3D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[1/6-&gt;1/3]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37-44B7-A50A-BBACA6C6FD35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37-44B7-A50A-BBACA6C6FD35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37-44B7-A50A-BBACA6C6FD35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15'!$AD$5:$AD$10</c:f>
              <c:numCache>
                <c:formatCode>General</c:formatCode>
                <c:ptCount val="6"/>
                <c:pt idx="0">
                  <c:v>265.32</c:v>
                </c:pt>
                <c:pt idx="1">
                  <c:v>41.25</c:v>
                </c:pt>
                <c:pt idx="2">
                  <c:v>-281.82</c:v>
                </c:pt>
                <c:pt idx="3">
                  <c:v>-265.32</c:v>
                </c:pt>
                <c:pt idx="4">
                  <c:v>-8.25</c:v>
                </c:pt>
                <c:pt idx="5">
                  <c:v>248.82</c:v>
                </c:pt>
              </c:numCache>
            </c:numRef>
          </c:xVal>
          <c:yVal>
            <c:numRef>
              <c:f>'X Ripple 15'!$AE$5:$AE$10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37-44B7-A50A-BBACA6C6F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[1/3-&gt;1/2]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B7-488B-88F9-5300EC0ED2E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B7-488B-88F9-5300EC0ED2E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B7-488B-88F9-5300EC0ED2E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15'!$AR$5:$AR$10</c:f>
              <c:numCache>
                <c:formatCode>General</c:formatCode>
                <c:ptCount val="6"/>
                <c:pt idx="0">
                  <c:v>248.82</c:v>
                </c:pt>
                <c:pt idx="1">
                  <c:v>24.75</c:v>
                </c:pt>
                <c:pt idx="2">
                  <c:v>-199.32</c:v>
                </c:pt>
                <c:pt idx="3">
                  <c:v>-281.82</c:v>
                </c:pt>
                <c:pt idx="4">
                  <c:v>-24.75</c:v>
                </c:pt>
                <c:pt idx="5">
                  <c:v>232.32</c:v>
                </c:pt>
              </c:numCache>
            </c:numRef>
          </c:xVal>
          <c:yVal>
            <c:numRef>
              <c:f>'X Ripple 15'!$AS$5:$AS$10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B7-488B-88F9-5300EC0ED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[1/2-&gt;2/3]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D6-466B-9551-FABFD7B5528E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D6-466B-9551-FABFD7B5528E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D6-466B-9551-FABFD7B5528E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15'!$BF$5:$BF$10</c:f>
              <c:numCache>
                <c:formatCode>General</c:formatCode>
                <c:ptCount val="6"/>
                <c:pt idx="0">
                  <c:v>232.32</c:v>
                </c:pt>
                <c:pt idx="1">
                  <c:v>8.25</c:v>
                </c:pt>
                <c:pt idx="2">
                  <c:v>-215.82</c:v>
                </c:pt>
                <c:pt idx="3">
                  <c:v>281.82</c:v>
                </c:pt>
                <c:pt idx="4">
                  <c:v>-41.25</c:v>
                </c:pt>
                <c:pt idx="5">
                  <c:v>-265.32</c:v>
                </c:pt>
              </c:numCache>
            </c:numRef>
          </c:xVal>
          <c:yVal>
            <c:numRef>
              <c:f>'X Ripple 15'!$BG$5:$BG$10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D6-466B-9551-FABFD7B55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[5/6-&gt;1]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59734361108313E-2"/>
          <c:y val="2.9556418569850716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7-47F8-8CE7-9041253E241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7-47F8-8CE7-9041253E241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7-47F8-8CE7-9041253E2419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15'!$CH$5:$CH$10</c:f>
              <c:numCache>
                <c:formatCode>General</c:formatCode>
                <c:ptCount val="6"/>
                <c:pt idx="0">
                  <c:v>199.32</c:v>
                </c:pt>
                <c:pt idx="1">
                  <c:v>-24.75</c:v>
                </c:pt>
                <c:pt idx="2">
                  <c:v>-248.82</c:v>
                </c:pt>
                <c:pt idx="3">
                  <c:v>248.82</c:v>
                </c:pt>
                <c:pt idx="4">
                  <c:v>24.75</c:v>
                </c:pt>
                <c:pt idx="5">
                  <c:v>-199.32</c:v>
                </c:pt>
              </c:numCache>
            </c:numRef>
          </c:xVal>
          <c:yVal>
            <c:numRef>
              <c:f>'X Ripple 15'!$CI$5:$CI$10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7-47F8-8CE7-9041253E2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Stance</a:t>
            </a:r>
            <a:r>
              <a:rPr lang="en-US" baseline="0"/>
              <a:t> -&gt; Swing S [2/3-&gt;5/6]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'X Ripple 15'!$C$4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'X Ripple 15'!$B$5:$B$10</c:f>
              <c:numCache>
                <c:formatCode>General</c:formatCode>
                <c:ptCount val="6"/>
                <c:pt idx="0">
                  <c:v>199.32</c:v>
                </c:pt>
                <c:pt idx="1">
                  <c:v>-41.25</c:v>
                </c:pt>
                <c:pt idx="2">
                  <c:v>-281.82</c:v>
                </c:pt>
                <c:pt idx="3">
                  <c:v>-281.82</c:v>
                </c:pt>
                <c:pt idx="4">
                  <c:v>-41.25</c:v>
                </c:pt>
                <c:pt idx="5">
                  <c:v>199.32</c:v>
                </c:pt>
              </c:numCache>
            </c:numRef>
          </c:xVal>
          <c:yVal>
            <c:numRef>
              <c:f>'X Ripple 15'!$C$5:$C$10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87-455C-B5E7-6853803F66B1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'X Ripple 15'!$E$5:$E$10</c:f>
              <c:numCache>
                <c:formatCode>General</c:formatCode>
                <c:ptCount val="6"/>
                <c:pt idx="0">
                  <c:v>281.82</c:v>
                </c:pt>
                <c:pt idx="1">
                  <c:v>41.25</c:v>
                </c:pt>
                <c:pt idx="2">
                  <c:v>-199.32</c:v>
                </c:pt>
                <c:pt idx="3">
                  <c:v>-199.32</c:v>
                </c:pt>
                <c:pt idx="4">
                  <c:v>41.25</c:v>
                </c:pt>
                <c:pt idx="5">
                  <c:v>281.82</c:v>
                </c:pt>
              </c:numCache>
            </c:numRef>
          </c:xVal>
          <c:yVal>
            <c:numRef>
              <c:f>'X Ripple 15'!$F$5:$F$10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87-455C-B5E7-6853803F66B1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'X Ripple 15'!$H$5:$H$10</c:f>
              <c:numCache>
                <c:formatCode>General</c:formatCode>
                <c:ptCount val="6"/>
                <c:pt idx="0">
                  <c:v>240.57</c:v>
                </c:pt>
                <c:pt idx="1">
                  <c:v>0</c:v>
                </c:pt>
                <c:pt idx="2">
                  <c:v>-240.57</c:v>
                </c:pt>
                <c:pt idx="3">
                  <c:v>-240.57</c:v>
                </c:pt>
                <c:pt idx="4">
                  <c:v>0</c:v>
                </c:pt>
                <c:pt idx="5">
                  <c:v>240.57</c:v>
                </c:pt>
              </c:numCache>
            </c:numRef>
          </c:xVal>
          <c:yVal>
            <c:numRef>
              <c:f>'X Ripple 15'!$I$5:$I$10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-277.79000000000002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87-455C-B5E7-6853803F66B1}"/>
            </c:ext>
          </c:extLst>
        </c:ser>
        <c:ser>
          <c:idx val="3"/>
          <c:order val="3"/>
          <c:tx>
            <c:v>Rp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'X Ripple 15'!$BT$5:$BT$10</c:f>
              <c:numCache>
                <c:formatCode>General</c:formatCode>
                <c:ptCount val="6"/>
                <c:pt idx="0">
                  <c:v>215.82</c:v>
                </c:pt>
                <c:pt idx="1">
                  <c:v>-8.25</c:v>
                </c:pt>
                <c:pt idx="2">
                  <c:v>-232.32</c:v>
                </c:pt>
                <c:pt idx="3">
                  <c:v>265.32</c:v>
                </c:pt>
                <c:pt idx="4">
                  <c:v>41.25</c:v>
                </c:pt>
                <c:pt idx="5">
                  <c:v>-281.82</c:v>
                </c:pt>
              </c:numCache>
            </c:numRef>
          </c:xVal>
          <c:yVal>
            <c:numRef>
              <c:f>'X Ripple 15'!$BU$5:$BU$10</c:f>
              <c:numCache>
                <c:formatCode>General</c:formatCode>
                <c:ptCount val="6"/>
                <c:pt idx="0">
                  <c:v>138.88999999999999</c:v>
                </c:pt>
                <c:pt idx="1">
                  <c:v>-277.79000000000002</c:v>
                </c:pt>
                <c:pt idx="2">
                  <c:v>138.9</c:v>
                </c:pt>
                <c:pt idx="3">
                  <c:v>-138.9</c:v>
                </c:pt>
                <c:pt idx="4">
                  <c:v>277.79000000000002</c:v>
                </c:pt>
                <c:pt idx="5">
                  <c:v>-138.9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87-455C-B5E7-6853803F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504825</xdr:colOff>
      <xdr:row>13</xdr:row>
      <xdr:rowOff>123825</xdr:rowOff>
    </xdr:from>
    <xdr:to>
      <xdr:col>25</xdr:col>
      <xdr:colOff>123826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AA6F8-3C8C-4C17-A99A-C055FA7D47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380999</xdr:colOff>
      <xdr:row>11</xdr:row>
      <xdr:rowOff>142875</xdr:rowOff>
    </xdr:from>
    <xdr:to>
      <xdr:col>11</xdr:col>
      <xdr:colOff>0</xdr:colOff>
      <xdr:row>33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626388-12D5-42C1-BFEE-6E5A8DED6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552450</xdr:colOff>
      <xdr:row>11</xdr:row>
      <xdr:rowOff>133350</xdr:rowOff>
    </xdr:from>
    <xdr:to>
      <xdr:col>24</xdr:col>
      <xdr:colOff>171451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80D49-368E-479E-BC0E-5565FC863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523875</xdr:colOff>
      <xdr:row>10</xdr:row>
      <xdr:rowOff>133350</xdr:rowOff>
    </xdr:from>
    <xdr:to>
      <xdr:col>37</xdr:col>
      <xdr:colOff>142876</xdr:colOff>
      <xdr:row>32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4602B9-EC47-4064-989E-9A655FB39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419100</xdr:colOff>
      <xdr:row>11</xdr:row>
      <xdr:rowOff>0</xdr:rowOff>
    </xdr:from>
    <xdr:to>
      <xdr:col>50</xdr:col>
      <xdr:colOff>38101</xdr:colOff>
      <xdr:row>33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E02095-54CA-4DBD-8146-2DFAE4D84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53</xdr:col>
      <xdr:colOff>400050</xdr:colOff>
      <xdr:row>11</xdr:row>
      <xdr:rowOff>0</xdr:rowOff>
    </xdr:from>
    <xdr:to>
      <xdr:col>64</xdr:col>
      <xdr:colOff>19051</xdr:colOff>
      <xdr:row>33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77FA6A5-B514-4618-BFAB-8E9DD0659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83</xdr:col>
      <xdr:colOff>47625</xdr:colOff>
      <xdr:row>10</xdr:row>
      <xdr:rowOff>161925</xdr:rowOff>
    </xdr:from>
    <xdr:to>
      <xdr:col>93</xdr:col>
      <xdr:colOff>276226</xdr:colOff>
      <xdr:row>32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E70D54-B0A5-44CD-BDE4-24B689CC4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68</xdr:col>
      <xdr:colOff>561975</xdr:colOff>
      <xdr:row>12</xdr:row>
      <xdr:rowOff>9525</xdr:rowOff>
    </xdr:from>
    <xdr:to>
      <xdr:col>79</xdr:col>
      <xdr:colOff>180976</xdr:colOff>
      <xdr:row>34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2911F29-C81D-416E-B0EB-7C863271A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X10"/>
  <sheetViews>
    <sheetView workbookViewId="0">
      <selection activeCell="AA15" sqref="AA15"/>
    </sheetView>
  </sheetViews>
  <sheetFormatPr defaultRowHeight="15" x14ac:dyDescent="0.25"/>
  <sheetData>
    <row r="1" spans="1:24" x14ac:dyDescent="0.25">
      <c r="A1" t="s">
        <v>10</v>
      </c>
      <c r="B1" t="s">
        <v>11</v>
      </c>
      <c r="C1" t="s">
        <v>12</v>
      </c>
      <c r="D1" t="s">
        <v>13</v>
      </c>
    </row>
    <row r="2" spans="1:24" x14ac:dyDescent="0.25">
      <c r="A2">
        <v>110</v>
      </c>
      <c r="B2">
        <v>0</v>
      </c>
      <c r="C2">
        <v>110</v>
      </c>
      <c r="D2">
        <v>0</v>
      </c>
      <c r="O2">
        <v>-110</v>
      </c>
      <c r="P2">
        <v>0</v>
      </c>
      <c r="Q2">
        <v>110</v>
      </c>
      <c r="R2">
        <v>0</v>
      </c>
    </row>
    <row r="4" spans="1:24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O4" t="s">
        <v>0</v>
      </c>
      <c r="P4" t="s">
        <v>1</v>
      </c>
      <c r="Q4" t="s">
        <v>2</v>
      </c>
      <c r="R4" t="s">
        <v>3</v>
      </c>
      <c r="S4" t="s">
        <v>4</v>
      </c>
      <c r="T4" t="s">
        <v>5</v>
      </c>
      <c r="U4" t="s">
        <v>6</v>
      </c>
      <c r="V4" t="s">
        <v>7</v>
      </c>
      <c r="W4" t="s">
        <v>8</v>
      </c>
      <c r="X4" t="s">
        <v>9</v>
      </c>
    </row>
    <row r="5" spans="1:24" x14ac:dyDescent="0.25">
      <c r="A5" t="s">
        <v>86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O5">
        <v>0</v>
      </c>
      <c r="P5">
        <v>281.82</v>
      </c>
      <c r="Q5">
        <v>138.88999999999999</v>
      </c>
      <c r="R5">
        <v>-89.66</v>
      </c>
      <c r="S5">
        <v>199.32</v>
      </c>
      <c r="T5">
        <v>138.88999999999999</v>
      </c>
      <c r="U5">
        <v>-89.66</v>
      </c>
      <c r="V5">
        <v>240.57</v>
      </c>
      <c r="W5">
        <v>138.88999999999999</v>
      </c>
      <c r="X5">
        <v>-34.659999999999997</v>
      </c>
    </row>
    <row r="6" spans="1:24" x14ac:dyDescent="0.25">
      <c r="A6" t="s">
        <v>87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O6">
        <v>1</v>
      </c>
      <c r="P6">
        <v>41.25</v>
      </c>
      <c r="Q6">
        <v>277.79000000000002</v>
      </c>
      <c r="R6">
        <v>-89.66</v>
      </c>
      <c r="S6">
        <v>-41.25</v>
      </c>
      <c r="T6">
        <v>277.79000000000002</v>
      </c>
      <c r="U6">
        <v>-89.66</v>
      </c>
      <c r="V6">
        <v>0</v>
      </c>
      <c r="W6">
        <v>277.79000000000002</v>
      </c>
      <c r="X6">
        <v>-34.659999999999997</v>
      </c>
    </row>
    <row r="7" spans="1:24" x14ac:dyDescent="0.25">
      <c r="A7" t="s">
        <v>88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O7">
        <v>2</v>
      </c>
      <c r="P7">
        <v>-199.32</v>
      </c>
      <c r="Q7">
        <v>138.9</v>
      </c>
      <c r="R7">
        <v>-89.66</v>
      </c>
      <c r="S7">
        <v>-281.82</v>
      </c>
      <c r="T7">
        <v>138.9</v>
      </c>
      <c r="U7">
        <v>-89.66</v>
      </c>
      <c r="V7">
        <v>-240.57</v>
      </c>
      <c r="W7">
        <v>138.9</v>
      </c>
      <c r="X7">
        <v>-34.659999999999997</v>
      </c>
    </row>
    <row r="8" spans="1:24" x14ac:dyDescent="0.25">
      <c r="A8" t="s">
        <v>89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O8">
        <v>3</v>
      </c>
      <c r="P8">
        <v>-199.32</v>
      </c>
      <c r="Q8">
        <v>-138.9</v>
      </c>
      <c r="R8">
        <v>-89.66</v>
      </c>
      <c r="S8">
        <v>-281.82</v>
      </c>
      <c r="T8">
        <v>-138.9</v>
      </c>
      <c r="U8">
        <v>-89.66</v>
      </c>
      <c r="V8">
        <v>-240.57</v>
      </c>
      <c r="W8">
        <v>-138.9</v>
      </c>
      <c r="X8">
        <v>-34.659999999999997</v>
      </c>
    </row>
    <row r="9" spans="1:24" x14ac:dyDescent="0.25">
      <c r="A9" t="s">
        <v>90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O9">
        <v>4</v>
      </c>
      <c r="P9">
        <v>41.25</v>
      </c>
      <c r="Q9">
        <v>-277.79000000000002</v>
      </c>
      <c r="R9">
        <v>-89.66</v>
      </c>
      <c r="S9">
        <v>-41.25</v>
      </c>
      <c r="T9">
        <v>-277.79000000000002</v>
      </c>
      <c r="U9">
        <v>-89.66</v>
      </c>
      <c r="V9">
        <v>0</v>
      </c>
      <c r="W9">
        <v>-277.79000000000002</v>
      </c>
      <c r="X9">
        <v>-34.659999999999997</v>
      </c>
    </row>
    <row r="10" spans="1:24" x14ac:dyDescent="0.25">
      <c r="A10" t="s">
        <v>91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O10">
        <v>5</v>
      </c>
      <c r="P10">
        <v>281.82</v>
      </c>
      <c r="Q10">
        <v>-138.9</v>
      </c>
      <c r="R10">
        <v>-89.66</v>
      </c>
      <c r="S10">
        <v>199.32</v>
      </c>
      <c r="T10">
        <v>-138.9</v>
      </c>
      <c r="U10">
        <v>-89.66</v>
      </c>
      <c r="V10">
        <v>240.57</v>
      </c>
      <c r="W10">
        <v>-138.9</v>
      </c>
      <c r="X10">
        <v>-34.659999999999997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workbookViewId="0">
      <selection activeCell="I19" sqref="I19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6" t="s">
        <v>14</v>
      </c>
      <c r="B1" s="7"/>
      <c r="C1" s="7"/>
      <c r="D1" s="8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BAB9-467F-4E05-A5CF-E22C3165A618}">
  <dimension ref="A1:I9"/>
  <sheetViews>
    <sheetView workbookViewId="0">
      <selection activeCell="H4" sqref="H4"/>
    </sheetView>
  </sheetViews>
  <sheetFormatPr defaultRowHeight="15" x14ac:dyDescent="0.25"/>
  <cols>
    <col min="1" max="1" width="13.140625" customWidth="1"/>
    <col min="4" max="5" width="12.7109375" customWidth="1"/>
    <col min="9" max="9" width="13" customWidth="1"/>
  </cols>
  <sheetData>
    <row r="1" spans="1:9" ht="15.75" thickBot="1" x14ac:dyDescent="0.3">
      <c r="A1" s="6" t="s">
        <v>14</v>
      </c>
      <c r="B1" s="7"/>
      <c r="C1" s="7"/>
      <c r="D1" s="8"/>
      <c r="E1" s="4"/>
      <c r="F1" s="6" t="s">
        <v>22</v>
      </c>
      <c r="G1" s="7"/>
      <c r="H1" s="7"/>
      <c r="I1" s="8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67</v>
      </c>
      <c r="B3" s="2">
        <f>1/6</f>
        <v>0.16666666666666666</v>
      </c>
      <c r="C3" s="2" t="s">
        <v>70</v>
      </c>
      <c r="D3" s="2"/>
      <c r="F3" s="5" t="s">
        <v>0</v>
      </c>
      <c r="G3" s="5" t="s">
        <v>69</v>
      </c>
      <c r="H3" s="5" t="s">
        <v>66</v>
      </c>
      <c r="I3" s="2"/>
    </row>
    <row r="4" spans="1:9" x14ac:dyDescent="0.25">
      <c r="A4" s="2" t="s">
        <v>59</v>
      </c>
      <c r="B4" s="2">
        <v>1</v>
      </c>
      <c r="C4" s="2" t="s">
        <v>70</v>
      </c>
      <c r="D4" s="2"/>
      <c r="F4" s="2" t="s">
        <v>60</v>
      </c>
      <c r="G4" s="2">
        <v>0</v>
      </c>
      <c r="H4" s="2">
        <f>IF(($B$4-G4)&lt;=0,$B$5-(ABS(G4-$B$4)*$B$3), (ABS(G4-$B$4)*$B$3))</f>
        <v>0.16666666666666666</v>
      </c>
      <c r="I4" s="2"/>
    </row>
    <row r="5" spans="1:9" x14ac:dyDescent="0.25">
      <c r="A5" s="2" t="s">
        <v>68</v>
      </c>
      <c r="B5" s="2">
        <v>1</v>
      </c>
      <c r="C5" s="2" t="s">
        <v>70</v>
      </c>
      <c r="D5" s="2"/>
      <c r="F5" s="2" t="s">
        <v>64</v>
      </c>
      <c r="G5" s="2">
        <v>1</v>
      </c>
      <c r="H5" s="2">
        <f t="shared" ref="H5:H9" si="0">IF(($B$4-G5)&lt;=0,$B$5-(ABS(G5-$B$4)*$B$3), (ABS(G5-$B$4)*$B$3))</f>
        <v>1</v>
      </c>
      <c r="I5" s="2"/>
    </row>
    <row r="6" spans="1:9" x14ac:dyDescent="0.25">
      <c r="F6" s="2" t="s">
        <v>62</v>
      </c>
      <c r="G6" s="2">
        <v>2</v>
      </c>
      <c r="H6" s="2">
        <f t="shared" si="0"/>
        <v>0.83333333333333337</v>
      </c>
      <c r="I6" s="2"/>
    </row>
    <row r="7" spans="1:9" x14ac:dyDescent="0.25">
      <c r="F7" s="2" t="s">
        <v>65</v>
      </c>
      <c r="G7" s="2">
        <v>3</v>
      </c>
      <c r="H7" s="2">
        <f t="shared" si="0"/>
        <v>0.66666666666666674</v>
      </c>
      <c r="I7" s="2"/>
    </row>
    <row r="8" spans="1:9" x14ac:dyDescent="0.25">
      <c r="F8" s="2" t="s">
        <v>61</v>
      </c>
      <c r="G8" s="2">
        <v>4</v>
      </c>
      <c r="H8" s="2">
        <f t="shared" si="0"/>
        <v>0.5</v>
      </c>
      <c r="I8" s="2"/>
    </row>
    <row r="9" spans="1:9" x14ac:dyDescent="0.25">
      <c r="F9" s="2" t="s">
        <v>63</v>
      </c>
      <c r="G9" s="2">
        <v>5</v>
      </c>
      <c r="H9" s="2">
        <f t="shared" si="0"/>
        <v>0.33333333333333337</v>
      </c>
      <c r="I9" s="2"/>
    </row>
  </sheetData>
  <mergeCells count="2">
    <mergeCell ref="A1:D1"/>
    <mergeCell ref="F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D9F1-BCDE-4885-A2D9-0BB726E53328}">
  <dimension ref="A1:CP10"/>
  <sheetViews>
    <sheetView tabSelected="1" topLeftCell="AH1" workbookViewId="0">
      <selection activeCell="AZ15" sqref="AZ15"/>
    </sheetView>
  </sheetViews>
  <sheetFormatPr defaultRowHeight="15" x14ac:dyDescent="0.25"/>
  <sheetData>
    <row r="1" spans="1:94" x14ac:dyDescent="0.25">
      <c r="A1" s="1" t="s">
        <v>10</v>
      </c>
      <c r="B1" s="1" t="s">
        <v>11</v>
      </c>
      <c r="C1" s="1" t="s">
        <v>12</v>
      </c>
      <c r="D1" s="1" t="s">
        <v>13</v>
      </c>
    </row>
    <row r="2" spans="1:94" x14ac:dyDescent="0.25">
      <c r="A2">
        <v>110</v>
      </c>
      <c r="B2">
        <v>0</v>
      </c>
      <c r="C2">
        <v>110</v>
      </c>
      <c r="D2">
        <v>0</v>
      </c>
    </row>
    <row r="4" spans="1:94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/>
      <c r="L4" s="1" t="s">
        <v>85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Z4" t="s">
        <v>85</v>
      </c>
      <c r="AA4" s="1" t="s">
        <v>71</v>
      </c>
      <c r="AB4" s="1" t="s">
        <v>72</v>
      </c>
      <c r="AC4" s="1" t="s">
        <v>73</v>
      </c>
      <c r="AD4" s="1" t="s">
        <v>74</v>
      </c>
      <c r="AE4" s="1" t="s">
        <v>75</v>
      </c>
      <c r="AF4" s="1" t="s">
        <v>76</v>
      </c>
      <c r="AG4" s="1" t="s">
        <v>77</v>
      </c>
      <c r="AH4" s="1" t="s">
        <v>78</v>
      </c>
      <c r="AI4" s="1" t="s">
        <v>79</v>
      </c>
      <c r="AJ4" s="1" t="s">
        <v>80</v>
      </c>
      <c r="AK4" s="1" t="s">
        <v>81</v>
      </c>
      <c r="AL4" s="1" t="s">
        <v>82</v>
      </c>
      <c r="AN4" t="s">
        <v>85</v>
      </c>
      <c r="AO4" t="s">
        <v>71</v>
      </c>
      <c r="AP4" t="s">
        <v>72</v>
      </c>
      <c r="AQ4" t="s">
        <v>73</v>
      </c>
      <c r="AR4" t="s">
        <v>74</v>
      </c>
      <c r="AS4" t="s">
        <v>75</v>
      </c>
      <c r="AT4" t="s">
        <v>76</v>
      </c>
      <c r="AU4" t="s">
        <v>77</v>
      </c>
      <c r="AV4" t="s">
        <v>78</v>
      </c>
      <c r="AW4" t="s">
        <v>79</v>
      </c>
      <c r="AX4" t="s">
        <v>80</v>
      </c>
      <c r="AY4" t="s">
        <v>81</v>
      </c>
      <c r="AZ4" t="s">
        <v>82</v>
      </c>
      <c r="BB4" t="s">
        <v>85</v>
      </c>
      <c r="BC4" t="s">
        <v>71</v>
      </c>
      <c r="BD4" t="s">
        <v>72</v>
      </c>
      <c r="BE4" t="s">
        <v>73</v>
      </c>
      <c r="BF4" t="s">
        <v>74</v>
      </c>
      <c r="BG4" t="s">
        <v>75</v>
      </c>
      <c r="BH4" t="s">
        <v>76</v>
      </c>
      <c r="BI4" t="s">
        <v>77</v>
      </c>
      <c r="BJ4" t="s">
        <v>78</v>
      </c>
      <c r="BK4" t="s">
        <v>79</v>
      </c>
      <c r="BL4" t="s">
        <v>80</v>
      </c>
      <c r="BM4" t="s">
        <v>81</v>
      </c>
      <c r="BN4" t="s">
        <v>82</v>
      </c>
      <c r="BP4" t="s">
        <v>85</v>
      </c>
      <c r="BQ4" t="s">
        <v>71</v>
      </c>
      <c r="BR4" t="s">
        <v>72</v>
      </c>
      <c r="BS4" t="s">
        <v>73</v>
      </c>
      <c r="BT4" t="s">
        <v>74</v>
      </c>
      <c r="BU4" t="s">
        <v>75</v>
      </c>
      <c r="BV4" t="s">
        <v>76</v>
      </c>
      <c r="BW4" t="s">
        <v>77</v>
      </c>
      <c r="BX4" t="s">
        <v>78</v>
      </c>
      <c r="BY4" t="s">
        <v>79</v>
      </c>
      <c r="BZ4" t="s">
        <v>80</v>
      </c>
      <c r="CA4" t="s">
        <v>81</v>
      </c>
      <c r="CB4" t="s">
        <v>82</v>
      </c>
      <c r="CD4" t="s">
        <v>85</v>
      </c>
      <c r="CE4" t="s">
        <v>71</v>
      </c>
      <c r="CF4" t="s">
        <v>72</v>
      </c>
      <c r="CG4" t="s">
        <v>73</v>
      </c>
      <c r="CH4" t="s">
        <v>74</v>
      </c>
      <c r="CI4" t="s">
        <v>75</v>
      </c>
      <c r="CJ4" t="s">
        <v>76</v>
      </c>
      <c r="CK4" t="s">
        <v>77</v>
      </c>
      <c r="CL4" t="s">
        <v>78</v>
      </c>
      <c r="CM4" t="s">
        <v>79</v>
      </c>
      <c r="CN4" t="s">
        <v>80</v>
      </c>
      <c r="CO4" t="s">
        <v>81</v>
      </c>
      <c r="CP4" t="s">
        <v>82</v>
      </c>
    </row>
    <row r="5" spans="1:94" x14ac:dyDescent="0.25">
      <c r="A5">
        <v>0</v>
      </c>
      <c r="B5">
        <v>199.32</v>
      </c>
      <c r="C5">
        <v>138.88999999999999</v>
      </c>
      <c r="D5">
        <v>-89.66</v>
      </c>
      <c r="E5">
        <v>281.82</v>
      </c>
      <c r="F5">
        <v>138.88999999999999</v>
      </c>
      <c r="G5">
        <v>-89.66</v>
      </c>
      <c r="H5">
        <v>240.57</v>
      </c>
      <c r="I5">
        <v>138.88999999999999</v>
      </c>
      <c r="J5">
        <v>-34.659999999999997</v>
      </c>
      <c r="L5">
        <v>0</v>
      </c>
      <c r="M5">
        <v>0</v>
      </c>
      <c r="N5">
        <v>0</v>
      </c>
      <c r="O5" t="s">
        <v>83</v>
      </c>
      <c r="P5">
        <v>281.82</v>
      </c>
      <c r="Q5">
        <v>138.88999999999999</v>
      </c>
      <c r="R5">
        <v>-34.659999999999997</v>
      </c>
      <c r="S5">
        <v>221.01</v>
      </c>
      <c r="T5">
        <v>-20.62</v>
      </c>
      <c r="U5">
        <v>-34.659999999999997</v>
      </c>
      <c r="V5">
        <v>-0.09</v>
      </c>
      <c r="W5">
        <v>-0.99</v>
      </c>
      <c r="X5">
        <v>1.81</v>
      </c>
      <c r="Z5">
        <v>1</v>
      </c>
      <c r="AA5">
        <v>0</v>
      </c>
      <c r="AB5">
        <v>0.2</v>
      </c>
      <c r="AC5" t="s">
        <v>84</v>
      </c>
      <c r="AD5">
        <v>265.32</v>
      </c>
      <c r="AE5">
        <v>138.88999999999999</v>
      </c>
      <c r="AF5">
        <v>-89.66</v>
      </c>
      <c r="AG5">
        <v>206.72</v>
      </c>
      <c r="AH5">
        <v>-12.38</v>
      </c>
      <c r="AI5">
        <v>-89.66</v>
      </c>
      <c r="AJ5">
        <v>-0.06</v>
      </c>
      <c r="AK5">
        <v>-0.56000000000000005</v>
      </c>
      <c r="AL5">
        <v>1.71</v>
      </c>
      <c r="AN5">
        <v>2</v>
      </c>
      <c r="AO5">
        <v>0</v>
      </c>
      <c r="AP5">
        <v>0.4</v>
      </c>
      <c r="AQ5" t="s">
        <v>84</v>
      </c>
      <c r="AR5">
        <v>248.82</v>
      </c>
      <c r="AS5">
        <v>138.88999999999999</v>
      </c>
      <c r="AT5">
        <v>-89.66</v>
      </c>
      <c r="AU5">
        <v>192.43</v>
      </c>
      <c r="AV5">
        <v>-4.13</v>
      </c>
      <c r="AW5">
        <v>-89.66</v>
      </c>
      <c r="AX5">
        <v>-0.02</v>
      </c>
      <c r="AY5">
        <v>-0.62</v>
      </c>
      <c r="AZ5">
        <v>1.85</v>
      </c>
      <c r="BB5">
        <v>3</v>
      </c>
      <c r="BC5">
        <v>0</v>
      </c>
      <c r="BD5">
        <v>0.6</v>
      </c>
      <c r="BE5" t="s">
        <v>84</v>
      </c>
      <c r="BF5">
        <v>232.32</v>
      </c>
      <c r="BG5">
        <v>138.88999999999999</v>
      </c>
      <c r="BH5">
        <v>-89.66</v>
      </c>
      <c r="BI5">
        <v>178.15</v>
      </c>
      <c r="BJ5">
        <v>4.13</v>
      </c>
      <c r="BK5">
        <v>-89.66</v>
      </c>
      <c r="BL5">
        <v>0.02</v>
      </c>
      <c r="BM5">
        <v>-0.67</v>
      </c>
      <c r="BN5">
        <v>1.98</v>
      </c>
      <c r="BP5">
        <v>4</v>
      </c>
      <c r="BQ5">
        <v>0</v>
      </c>
      <c r="BR5">
        <v>0.8</v>
      </c>
      <c r="BS5" t="s">
        <v>84</v>
      </c>
      <c r="BT5">
        <v>215.82</v>
      </c>
      <c r="BU5">
        <v>138.88999999999999</v>
      </c>
      <c r="BV5">
        <v>-89.66</v>
      </c>
      <c r="BW5">
        <v>163.86</v>
      </c>
      <c r="BX5">
        <v>12.38</v>
      </c>
      <c r="BY5">
        <v>-89.66</v>
      </c>
      <c r="BZ5">
        <v>0.08</v>
      </c>
      <c r="CA5">
        <v>-0.7</v>
      </c>
      <c r="CB5">
        <v>2.1</v>
      </c>
      <c r="CD5">
        <v>5</v>
      </c>
      <c r="CE5">
        <v>0</v>
      </c>
      <c r="CF5">
        <v>1</v>
      </c>
      <c r="CG5" t="s">
        <v>84</v>
      </c>
      <c r="CH5">
        <v>199.32</v>
      </c>
      <c r="CI5">
        <v>138.88999999999999</v>
      </c>
      <c r="CJ5">
        <v>-89.66</v>
      </c>
      <c r="CK5">
        <v>149.57</v>
      </c>
      <c r="CL5">
        <v>20.62</v>
      </c>
      <c r="CM5">
        <v>-89.66</v>
      </c>
      <c r="CN5">
        <v>0.14000000000000001</v>
      </c>
      <c r="CO5">
        <v>-0.73</v>
      </c>
      <c r="CP5">
        <v>2.21</v>
      </c>
    </row>
    <row r="6" spans="1:94" x14ac:dyDescent="0.25">
      <c r="A6">
        <v>1</v>
      </c>
      <c r="B6">
        <v>-41.25</v>
      </c>
      <c r="C6">
        <v>277.79000000000002</v>
      </c>
      <c r="D6">
        <v>-89.66</v>
      </c>
      <c r="E6">
        <v>41.25</v>
      </c>
      <c r="F6">
        <v>277.79000000000002</v>
      </c>
      <c r="G6">
        <v>-89.66</v>
      </c>
      <c r="H6">
        <v>0</v>
      </c>
      <c r="I6">
        <v>277.79000000000002</v>
      </c>
      <c r="J6">
        <v>-34.659999999999997</v>
      </c>
      <c r="L6">
        <v>0</v>
      </c>
      <c r="M6">
        <v>1</v>
      </c>
      <c r="N6">
        <v>1</v>
      </c>
      <c r="O6" t="s">
        <v>84</v>
      </c>
      <c r="P6">
        <v>-41.25</v>
      </c>
      <c r="Q6">
        <v>277.79000000000002</v>
      </c>
      <c r="R6">
        <v>-89.66</v>
      </c>
      <c r="S6">
        <v>185.29</v>
      </c>
      <c r="T6">
        <v>41.25</v>
      </c>
      <c r="U6">
        <v>-89.66</v>
      </c>
      <c r="V6">
        <v>0.22</v>
      </c>
      <c r="W6">
        <v>-0.63</v>
      </c>
      <c r="X6">
        <v>1.88</v>
      </c>
      <c r="Z6">
        <v>1</v>
      </c>
      <c r="AA6">
        <v>1</v>
      </c>
      <c r="AB6">
        <v>0</v>
      </c>
      <c r="AC6" t="s">
        <v>83</v>
      </c>
      <c r="AD6">
        <v>41.25</v>
      </c>
      <c r="AE6">
        <v>277.79000000000002</v>
      </c>
      <c r="AF6">
        <v>-34.659999999999997</v>
      </c>
      <c r="AG6">
        <v>185.29</v>
      </c>
      <c r="AH6">
        <v>-41.25</v>
      </c>
      <c r="AI6">
        <v>-34.659999999999997</v>
      </c>
      <c r="AJ6">
        <v>-0.22</v>
      </c>
      <c r="AK6">
        <v>-1.24</v>
      </c>
      <c r="AL6">
        <v>2.16</v>
      </c>
      <c r="AN6">
        <v>2</v>
      </c>
      <c r="AO6">
        <v>1</v>
      </c>
      <c r="AP6">
        <v>0.2</v>
      </c>
      <c r="AQ6" t="s">
        <v>84</v>
      </c>
      <c r="AR6">
        <v>24.75</v>
      </c>
      <c r="AS6">
        <v>277.79000000000002</v>
      </c>
      <c r="AT6">
        <v>-89.66</v>
      </c>
      <c r="AU6">
        <v>185.29</v>
      </c>
      <c r="AV6">
        <v>-24.75</v>
      </c>
      <c r="AW6">
        <v>-89.66</v>
      </c>
      <c r="AX6">
        <v>-0.13</v>
      </c>
      <c r="AY6">
        <v>-0.64</v>
      </c>
      <c r="AZ6">
        <v>1.91</v>
      </c>
      <c r="BB6">
        <v>3</v>
      </c>
      <c r="BC6">
        <v>4</v>
      </c>
      <c r="BD6">
        <v>0.4</v>
      </c>
      <c r="BE6" t="s">
        <v>84</v>
      </c>
      <c r="BF6">
        <v>8.25</v>
      </c>
      <c r="BG6">
        <v>-277.79000000000002</v>
      </c>
      <c r="BH6">
        <v>-89.66</v>
      </c>
      <c r="BI6">
        <v>185.29</v>
      </c>
      <c r="BJ6">
        <v>8.25</v>
      </c>
      <c r="BK6">
        <v>-89.66</v>
      </c>
      <c r="BL6">
        <v>0.04</v>
      </c>
      <c r="BM6">
        <v>-0.64</v>
      </c>
      <c r="BN6">
        <v>1.92</v>
      </c>
      <c r="BP6">
        <v>4</v>
      </c>
      <c r="BQ6">
        <v>4</v>
      </c>
      <c r="BR6">
        <v>0.6</v>
      </c>
      <c r="BS6" t="s">
        <v>84</v>
      </c>
      <c r="BT6">
        <v>-8.25</v>
      </c>
      <c r="BU6">
        <v>-277.79000000000002</v>
      </c>
      <c r="BV6">
        <v>-89.66</v>
      </c>
      <c r="BW6">
        <v>185.29</v>
      </c>
      <c r="BX6">
        <v>-8.25</v>
      </c>
      <c r="BY6">
        <v>-89.66</v>
      </c>
      <c r="BZ6">
        <v>-0.04</v>
      </c>
      <c r="CA6">
        <v>-0.64</v>
      </c>
      <c r="CB6">
        <v>1.92</v>
      </c>
      <c r="CD6">
        <v>5</v>
      </c>
      <c r="CE6">
        <v>4</v>
      </c>
      <c r="CF6">
        <v>0.8</v>
      </c>
      <c r="CG6" t="s">
        <v>84</v>
      </c>
      <c r="CH6">
        <v>-24.75</v>
      </c>
      <c r="CI6">
        <v>-277.79000000000002</v>
      </c>
      <c r="CJ6">
        <v>-89.66</v>
      </c>
      <c r="CK6">
        <v>185.29</v>
      </c>
      <c r="CL6">
        <v>-24.75</v>
      </c>
      <c r="CM6">
        <v>-89.66</v>
      </c>
      <c r="CN6">
        <v>-0.13</v>
      </c>
      <c r="CO6">
        <v>-0.64</v>
      </c>
      <c r="CP6">
        <v>1.91</v>
      </c>
    </row>
    <row r="7" spans="1:94" x14ac:dyDescent="0.25">
      <c r="A7">
        <v>2</v>
      </c>
      <c r="B7">
        <v>-281.82</v>
      </c>
      <c r="C7">
        <v>138.9</v>
      </c>
      <c r="D7">
        <v>-89.66</v>
      </c>
      <c r="E7">
        <v>-199.32</v>
      </c>
      <c r="F7">
        <v>138.9</v>
      </c>
      <c r="G7">
        <v>-89.66</v>
      </c>
      <c r="H7">
        <v>-240.57</v>
      </c>
      <c r="I7">
        <v>138.9</v>
      </c>
      <c r="J7">
        <v>-34.659999999999997</v>
      </c>
      <c r="L7">
        <v>0</v>
      </c>
      <c r="M7">
        <v>2</v>
      </c>
      <c r="N7">
        <v>0.8</v>
      </c>
      <c r="O7" t="s">
        <v>84</v>
      </c>
      <c r="P7">
        <v>-265.32</v>
      </c>
      <c r="Q7">
        <v>138.9</v>
      </c>
      <c r="R7">
        <v>-89.66</v>
      </c>
      <c r="S7">
        <v>206.72</v>
      </c>
      <c r="T7">
        <v>12.38</v>
      </c>
      <c r="U7">
        <v>-89.66</v>
      </c>
      <c r="V7">
        <v>0.06</v>
      </c>
      <c r="W7">
        <v>-0.56000000000000005</v>
      </c>
      <c r="X7">
        <v>1.71</v>
      </c>
      <c r="Z7">
        <v>1</v>
      </c>
      <c r="AA7">
        <v>2</v>
      </c>
      <c r="AB7">
        <v>1</v>
      </c>
      <c r="AC7" t="s">
        <v>84</v>
      </c>
      <c r="AD7">
        <v>-281.82</v>
      </c>
      <c r="AE7">
        <v>138.9</v>
      </c>
      <c r="AF7">
        <v>-89.66</v>
      </c>
      <c r="AG7">
        <v>221.01</v>
      </c>
      <c r="AH7">
        <v>20.63</v>
      </c>
      <c r="AI7">
        <v>-89.66</v>
      </c>
      <c r="AJ7">
        <v>0.09</v>
      </c>
      <c r="AK7">
        <v>-0.48</v>
      </c>
      <c r="AL7">
        <v>1.55</v>
      </c>
      <c r="AN7">
        <v>2</v>
      </c>
      <c r="AO7">
        <v>2</v>
      </c>
      <c r="AP7">
        <v>0</v>
      </c>
      <c r="AQ7" t="s">
        <v>83</v>
      </c>
      <c r="AR7">
        <v>-199.32</v>
      </c>
      <c r="AS7">
        <v>138.9</v>
      </c>
      <c r="AT7">
        <v>-34.659999999999997</v>
      </c>
      <c r="AU7">
        <v>149.57</v>
      </c>
      <c r="AV7">
        <v>-20.62</v>
      </c>
      <c r="AW7">
        <v>-34.659999999999997</v>
      </c>
      <c r="AX7">
        <v>-0.14000000000000001</v>
      </c>
      <c r="AY7">
        <v>-1.6</v>
      </c>
      <c r="AZ7">
        <v>2.58</v>
      </c>
      <c r="BB7">
        <v>3</v>
      </c>
      <c r="BC7">
        <v>2</v>
      </c>
      <c r="BD7">
        <v>0.2</v>
      </c>
      <c r="BE7" t="s">
        <v>84</v>
      </c>
      <c r="BF7">
        <v>-215.82</v>
      </c>
      <c r="BG7">
        <v>138.9</v>
      </c>
      <c r="BH7">
        <v>-89.66</v>
      </c>
      <c r="BI7">
        <v>163.86</v>
      </c>
      <c r="BJ7">
        <v>-12.37</v>
      </c>
      <c r="BK7">
        <v>-89.66</v>
      </c>
      <c r="BL7">
        <v>-0.08</v>
      </c>
      <c r="BM7">
        <v>-0.7</v>
      </c>
      <c r="BN7">
        <v>2.1</v>
      </c>
      <c r="BP7">
        <v>4</v>
      </c>
      <c r="BQ7">
        <v>2</v>
      </c>
      <c r="BR7">
        <v>0.4</v>
      </c>
      <c r="BS7" t="s">
        <v>84</v>
      </c>
      <c r="BT7">
        <v>-232.32</v>
      </c>
      <c r="BU7">
        <v>138.9</v>
      </c>
      <c r="BV7">
        <v>-89.66</v>
      </c>
      <c r="BW7">
        <v>178.15</v>
      </c>
      <c r="BX7">
        <v>-4.12</v>
      </c>
      <c r="BY7">
        <v>-89.66</v>
      </c>
      <c r="BZ7">
        <v>-0.02</v>
      </c>
      <c r="CA7">
        <v>-0.67</v>
      </c>
      <c r="CB7">
        <v>1.98</v>
      </c>
      <c r="CD7">
        <v>5</v>
      </c>
      <c r="CE7">
        <v>2</v>
      </c>
      <c r="CF7">
        <v>0.6</v>
      </c>
      <c r="CG7" t="s">
        <v>84</v>
      </c>
      <c r="CH7">
        <v>-248.82</v>
      </c>
      <c r="CI7">
        <v>138.9</v>
      </c>
      <c r="CJ7">
        <v>-89.66</v>
      </c>
      <c r="CK7">
        <v>192.43</v>
      </c>
      <c r="CL7">
        <v>4.13</v>
      </c>
      <c r="CM7">
        <v>-89.66</v>
      </c>
      <c r="CN7">
        <v>0.02</v>
      </c>
      <c r="CO7">
        <v>-0.62</v>
      </c>
      <c r="CP7">
        <v>1.85</v>
      </c>
    </row>
    <row r="8" spans="1:94" x14ac:dyDescent="0.25">
      <c r="A8">
        <v>3</v>
      </c>
      <c r="B8">
        <v>-281.82</v>
      </c>
      <c r="C8">
        <v>-138.9</v>
      </c>
      <c r="D8">
        <v>-89.66</v>
      </c>
      <c r="E8">
        <v>-199.32</v>
      </c>
      <c r="F8">
        <v>-138.9</v>
      </c>
      <c r="G8">
        <v>-89.66</v>
      </c>
      <c r="H8">
        <v>-240.57</v>
      </c>
      <c r="I8">
        <v>-138.9</v>
      </c>
      <c r="J8">
        <v>-34.659999999999997</v>
      </c>
      <c r="L8">
        <v>0</v>
      </c>
      <c r="M8">
        <v>3</v>
      </c>
      <c r="N8">
        <v>0.6</v>
      </c>
      <c r="O8" t="s">
        <v>84</v>
      </c>
      <c r="P8">
        <v>-248.82</v>
      </c>
      <c r="Q8">
        <v>-138.9</v>
      </c>
      <c r="R8">
        <v>-89.66</v>
      </c>
      <c r="S8">
        <v>192.43</v>
      </c>
      <c r="T8">
        <v>-4.12</v>
      </c>
      <c r="U8">
        <v>-89.66</v>
      </c>
      <c r="V8">
        <v>-0.02</v>
      </c>
      <c r="W8">
        <v>-0.62</v>
      </c>
      <c r="X8">
        <v>1.85</v>
      </c>
      <c r="Z8">
        <v>1</v>
      </c>
      <c r="AA8">
        <v>3</v>
      </c>
      <c r="AB8">
        <v>0.8</v>
      </c>
      <c r="AC8" t="s">
        <v>84</v>
      </c>
      <c r="AD8">
        <v>-265.32</v>
      </c>
      <c r="AE8">
        <v>-138.9</v>
      </c>
      <c r="AF8">
        <v>-89.66</v>
      </c>
      <c r="AG8">
        <v>206.72</v>
      </c>
      <c r="AH8">
        <v>-12.37</v>
      </c>
      <c r="AI8">
        <v>-89.66</v>
      </c>
      <c r="AJ8">
        <v>-0.06</v>
      </c>
      <c r="AK8">
        <v>-0.56000000000000005</v>
      </c>
      <c r="AL8">
        <v>1.71</v>
      </c>
      <c r="AN8">
        <v>2</v>
      </c>
      <c r="AO8">
        <v>3</v>
      </c>
      <c r="AP8">
        <v>1</v>
      </c>
      <c r="AQ8" t="s">
        <v>84</v>
      </c>
      <c r="AR8">
        <v>-281.82</v>
      </c>
      <c r="AS8">
        <v>-138.9</v>
      </c>
      <c r="AT8">
        <v>-89.66</v>
      </c>
      <c r="AU8">
        <v>221.01</v>
      </c>
      <c r="AV8">
        <v>-20.62</v>
      </c>
      <c r="AW8">
        <v>-89.66</v>
      </c>
      <c r="AX8">
        <v>-0.09</v>
      </c>
      <c r="AY8">
        <v>-0.48</v>
      </c>
      <c r="AZ8">
        <v>1.55</v>
      </c>
      <c r="BB8">
        <v>3</v>
      </c>
      <c r="BC8">
        <v>5</v>
      </c>
      <c r="BD8">
        <v>0</v>
      </c>
      <c r="BE8" t="s">
        <v>83</v>
      </c>
      <c r="BF8">
        <v>281.82</v>
      </c>
      <c r="BG8">
        <v>-138.9</v>
      </c>
      <c r="BH8">
        <v>-34.659999999999997</v>
      </c>
      <c r="BI8">
        <v>221.01</v>
      </c>
      <c r="BJ8">
        <v>20.62</v>
      </c>
      <c r="BK8">
        <v>-34.659999999999997</v>
      </c>
      <c r="BL8">
        <v>0.09</v>
      </c>
      <c r="BM8">
        <v>-0.99</v>
      </c>
      <c r="BN8">
        <v>1.81</v>
      </c>
      <c r="BP8">
        <v>4</v>
      </c>
      <c r="BQ8">
        <v>5</v>
      </c>
      <c r="BR8">
        <v>0.2</v>
      </c>
      <c r="BS8" t="s">
        <v>84</v>
      </c>
      <c r="BT8">
        <v>265.32</v>
      </c>
      <c r="BU8">
        <v>-138.9</v>
      </c>
      <c r="BV8">
        <v>-89.66</v>
      </c>
      <c r="BW8">
        <v>206.72</v>
      </c>
      <c r="BX8">
        <v>12.37</v>
      </c>
      <c r="BY8">
        <v>-89.66</v>
      </c>
      <c r="BZ8">
        <v>0.06</v>
      </c>
      <c r="CA8">
        <v>-0.56000000000000005</v>
      </c>
      <c r="CB8">
        <v>1.71</v>
      </c>
      <c r="CD8">
        <v>5</v>
      </c>
      <c r="CE8">
        <v>5</v>
      </c>
      <c r="CF8">
        <v>0.4</v>
      </c>
      <c r="CG8" t="s">
        <v>84</v>
      </c>
      <c r="CH8">
        <v>248.82</v>
      </c>
      <c r="CI8">
        <v>-138.9</v>
      </c>
      <c r="CJ8">
        <v>-89.66</v>
      </c>
      <c r="CK8">
        <v>192.43</v>
      </c>
      <c r="CL8">
        <v>4.12</v>
      </c>
      <c r="CM8">
        <v>-89.66</v>
      </c>
      <c r="CN8">
        <v>0.02</v>
      </c>
      <c r="CO8">
        <v>-0.62</v>
      </c>
      <c r="CP8">
        <v>1.85</v>
      </c>
    </row>
    <row r="9" spans="1:94" x14ac:dyDescent="0.25">
      <c r="A9">
        <v>4</v>
      </c>
      <c r="B9">
        <v>-41.25</v>
      </c>
      <c r="C9">
        <v>-277.79000000000002</v>
      </c>
      <c r="D9">
        <v>-89.66</v>
      </c>
      <c r="E9">
        <v>41.25</v>
      </c>
      <c r="F9">
        <v>-277.79000000000002</v>
      </c>
      <c r="G9">
        <v>-89.66</v>
      </c>
      <c r="H9">
        <v>0</v>
      </c>
      <c r="I9">
        <v>-277.79000000000002</v>
      </c>
      <c r="J9">
        <v>-34.659999999999997</v>
      </c>
      <c r="L9">
        <v>0</v>
      </c>
      <c r="M9">
        <v>4</v>
      </c>
      <c r="N9">
        <v>0.4</v>
      </c>
      <c r="O9" t="s">
        <v>84</v>
      </c>
      <c r="P9">
        <v>8.25</v>
      </c>
      <c r="Q9">
        <v>-277.79000000000002</v>
      </c>
      <c r="R9">
        <v>-89.66</v>
      </c>
      <c r="S9">
        <v>185.29</v>
      </c>
      <c r="T9">
        <v>8.25</v>
      </c>
      <c r="U9">
        <v>-89.66</v>
      </c>
      <c r="V9">
        <v>0.04</v>
      </c>
      <c r="W9">
        <v>-0.64</v>
      </c>
      <c r="X9">
        <v>1.92</v>
      </c>
      <c r="Z9">
        <v>1</v>
      </c>
      <c r="AA9">
        <v>4</v>
      </c>
      <c r="AB9">
        <v>0.6</v>
      </c>
      <c r="AC9" t="s">
        <v>84</v>
      </c>
      <c r="AD9">
        <v>-8.25</v>
      </c>
      <c r="AE9">
        <v>-277.79000000000002</v>
      </c>
      <c r="AF9">
        <v>-89.66</v>
      </c>
      <c r="AG9">
        <v>185.29</v>
      </c>
      <c r="AH9">
        <v>-8.25</v>
      </c>
      <c r="AI9">
        <v>-89.66</v>
      </c>
      <c r="AJ9">
        <v>-0.04</v>
      </c>
      <c r="AK9">
        <v>-0.64</v>
      </c>
      <c r="AL9">
        <v>1.92</v>
      </c>
      <c r="AN9">
        <v>2</v>
      </c>
      <c r="AO9">
        <v>4</v>
      </c>
      <c r="AP9">
        <v>0.8</v>
      </c>
      <c r="AQ9" t="s">
        <v>84</v>
      </c>
      <c r="AR9">
        <v>-24.75</v>
      </c>
      <c r="AS9">
        <v>-277.79000000000002</v>
      </c>
      <c r="AT9">
        <v>-89.66</v>
      </c>
      <c r="AU9">
        <v>185.29</v>
      </c>
      <c r="AV9">
        <v>-24.75</v>
      </c>
      <c r="AW9">
        <v>-89.66</v>
      </c>
      <c r="AX9">
        <v>-0.13</v>
      </c>
      <c r="AY9">
        <v>-0.64</v>
      </c>
      <c r="AZ9">
        <v>1.91</v>
      </c>
      <c r="BB9">
        <v>3</v>
      </c>
      <c r="BC9">
        <v>1</v>
      </c>
      <c r="BD9">
        <v>1</v>
      </c>
      <c r="BE9" t="s">
        <v>84</v>
      </c>
      <c r="BF9">
        <v>-41.25</v>
      </c>
      <c r="BG9">
        <v>277.79000000000002</v>
      </c>
      <c r="BH9">
        <v>-89.66</v>
      </c>
      <c r="BI9">
        <v>185.29</v>
      </c>
      <c r="BJ9">
        <v>41.25</v>
      </c>
      <c r="BK9">
        <v>-89.66</v>
      </c>
      <c r="BL9">
        <v>0.22</v>
      </c>
      <c r="BM9">
        <v>-0.63</v>
      </c>
      <c r="BN9">
        <v>1.88</v>
      </c>
      <c r="BP9">
        <v>4</v>
      </c>
      <c r="BQ9">
        <v>1</v>
      </c>
      <c r="BR9">
        <v>0</v>
      </c>
      <c r="BS9" t="s">
        <v>83</v>
      </c>
      <c r="BT9">
        <v>41.25</v>
      </c>
      <c r="BU9">
        <v>277.79000000000002</v>
      </c>
      <c r="BV9">
        <v>-34.659999999999997</v>
      </c>
      <c r="BW9">
        <v>185.29</v>
      </c>
      <c r="BX9">
        <v>-41.25</v>
      </c>
      <c r="BY9">
        <v>-34.659999999999997</v>
      </c>
      <c r="BZ9">
        <v>-0.22</v>
      </c>
      <c r="CA9">
        <v>-1.24</v>
      </c>
      <c r="CB9">
        <v>2.16</v>
      </c>
      <c r="CD9">
        <v>5</v>
      </c>
      <c r="CE9">
        <v>1</v>
      </c>
      <c r="CF9">
        <v>0.2</v>
      </c>
      <c r="CG9" t="s">
        <v>84</v>
      </c>
      <c r="CH9">
        <v>24.75</v>
      </c>
      <c r="CI9">
        <v>277.79000000000002</v>
      </c>
      <c r="CJ9">
        <v>-89.66</v>
      </c>
      <c r="CK9">
        <v>185.29</v>
      </c>
      <c r="CL9">
        <v>-24.75</v>
      </c>
      <c r="CM9">
        <v>-89.66</v>
      </c>
      <c r="CN9">
        <v>-0.13</v>
      </c>
      <c r="CO9">
        <v>-0.64</v>
      </c>
      <c r="CP9">
        <v>1.91</v>
      </c>
    </row>
    <row r="10" spans="1:94" x14ac:dyDescent="0.25">
      <c r="A10">
        <v>5</v>
      </c>
      <c r="B10">
        <v>199.32</v>
      </c>
      <c r="C10">
        <v>-138.9</v>
      </c>
      <c r="D10">
        <v>-89.66</v>
      </c>
      <c r="E10">
        <v>281.82</v>
      </c>
      <c r="F10">
        <v>-138.9</v>
      </c>
      <c r="G10">
        <v>-89.66</v>
      </c>
      <c r="H10">
        <v>240.57</v>
      </c>
      <c r="I10">
        <v>-138.9</v>
      </c>
      <c r="J10">
        <v>-34.659999999999997</v>
      </c>
      <c r="L10">
        <v>0</v>
      </c>
      <c r="M10">
        <v>5</v>
      </c>
      <c r="N10">
        <v>0.2</v>
      </c>
      <c r="O10" t="s">
        <v>84</v>
      </c>
      <c r="P10">
        <v>265.32</v>
      </c>
      <c r="Q10">
        <v>-138.9</v>
      </c>
      <c r="R10">
        <v>-89.66</v>
      </c>
      <c r="S10">
        <v>206.72</v>
      </c>
      <c r="T10">
        <v>12.37</v>
      </c>
      <c r="U10">
        <v>-89.66</v>
      </c>
      <c r="V10">
        <v>0.06</v>
      </c>
      <c r="W10">
        <v>-0.56000000000000005</v>
      </c>
      <c r="X10">
        <v>1.71</v>
      </c>
      <c r="Z10">
        <v>1</v>
      </c>
      <c r="AA10">
        <v>5</v>
      </c>
      <c r="AB10">
        <v>0.4</v>
      </c>
      <c r="AC10" t="s">
        <v>84</v>
      </c>
      <c r="AD10">
        <v>248.82</v>
      </c>
      <c r="AE10">
        <v>-138.9</v>
      </c>
      <c r="AF10">
        <v>-89.66</v>
      </c>
      <c r="AG10">
        <v>192.43</v>
      </c>
      <c r="AH10">
        <v>4.12</v>
      </c>
      <c r="AI10">
        <v>-89.66</v>
      </c>
      <c r="AJ10">
        <v>0.02</v>
      </c>
      <c r="AK10">
        <v>-0.62</v>
      </c>
      <c r="AL10">
        <v>1.85</v>
      </c>
      <c r="AN10">
        <v>2</v>
      </c>
      <c r="AO10">
        <v>5</v>
      </c>
      <c r="AP10">
        <v>0.6</v>
      </c>
      <c r="AQ10" t="s">
        <v>84</v>
      </c>
      <c r="AR10">
        <v>232.32</v>
      </c>
      <c r="AS10">
        <v>-138.9</v>
      </c>
      <c r="AT10">
        <v>-89.66</v>
      </c>
      <c r="AU10">
        <v>178.15</v>
      </c>
      <c r="AV10">
        <v>-4.13</v>
      </c>
      <c r="AW10">
        <v>-89.66</v>
      </c>
      <c r="AX10">
        <v>-0.02</v>
      </c>
      <c r="AY10">
        <v>-0.67</v>
      </c>
      <c r="AZ10">
        <v>1.98</v>
      </c>
      <c r="BB10">
        <v>3</v>
      </c>
      <c r="BC10">
        <v>3</v>
      </c>
      <c r="BD10">
        <v>0.8</v>
      </c>
      <c r="BE10" t="s">
        <v>84</v>
      </c>
      <c r="BF10">
        <v>-265.32</v>
      </c>
      <c r="BG10">
        <v>-138.9</v>
      </c>
      <c r="BH10">
        <v>-89.66</v>
      </c>
      <c r="BI10">
        <v>206.72</v>
      </c>
      <c r="BJ10">
        <v>-12.37</v>
      </c>
      <c r="BK10">
        <v>-89.66</v>
      </c>
      <c r="BL10">
        <v>-0.06</v>
      </c>
      <c r="BM10">
        <v>-0.56000000000000005</v>
      </c>
      <c r="BN10">
        <v>1.71</v>
      </c>
      <c r="BP10">
        <v>4</v>
      </c>
      <c r="BQ10">
        <v>3</v>
      </c>
      <c r="BR10">
        <v>1</v>
      </c>
      <c r="BS10" t="s">
        <v>84</v>
      </c>
      <c r="BT10">
        <v>-281.82</v>
      </c>
      <c r="BU10">
        <v>-138.9</v>
      </c>
      <c r="BV10">
        <v>-89.66</v>
      </c>
      <c r="BW10">
        <v>221.01</v>
      </c>
      <c r="BX10">
        <v>-20.62</v>
      </c>
      <c r="BY10">
        <v>-89.66</v>
      </c>
      <c r="BZ10">
        <v>-0.09</v>
      </c>
      <c r="CA10">
        <v>-0.48</v>
      </c>
      <c r="CB10">
        <v>1.55</v>
      </c>
      <c r="CD10">
        <v>5</v>
      </c>
      <c r="CE10">
        <v>3</v>
      </c>
      <c r="CF10">
        <v>0</v>
      </c>
      <c r="CG10" t="s">
        <v>83</v>
      </c>
      <c r="CH10">
        <v>-199.32</v>
      </c>
      <c r="CI10">
        <v>-138.9</v>
      </c>
      <c r="CJ10">
        <v>-34.659999999999997</v>
      </c>
      <c r="CK10">
        <v>149.57</v>
      </c>
      <c r="CL10">
        <v>20.63</v>
      </c>
      <c r="CM10">
        <v>-34.659999999999997</v>
      </c>
      <c r="CN10">
        <v>0.14000000000000001</v>
      </c>
      <c r="CO10">
        <v>-1.6</v>
      </c>
      <c r="CP10">
        <v>2.58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</vt:lpstr>
      <vt:lpstr>Y</vt:lpstr>
      <vt:lpstr>XY</vt:lpstr>
      <vt:lpstr>W</vt:lpstr>
      <vt:lpstr>XYW</vt:lpstr>
      <vt:lpstr>RC Calculations</vt:lpstr>
      <vt:lpstr>Ripple Phase</vt:lpstr>
      <vt:lpstr>X Ripple 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2026-07-22T13:44:13Z</dcterms:modified>
</cp:coreProperties>
</file>