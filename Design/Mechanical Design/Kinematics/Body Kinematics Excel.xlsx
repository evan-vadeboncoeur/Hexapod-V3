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_vadeboncoeur\Documents\PlatformIO\Projects\Hexapod v3\Design\Mechanical Design\Kinematics\"/>
    </mc:Choice>
  </mc:AlternateContent>
  <xr:revisionPtr revIDLastSave="0" documentId="13_ncr:1_{FB2F866A-B2F8-449B-A2F3-0D24835391C5}" xr6:coauthVersionLast="47" xr6:coauthVersionMax="47" xr10:uidLastSave="{00000000-0000-0000-0000-000000000000}"/>
  <bookViews>
    <workbookView xWindow="-28920" yWindow="-120" windowWidth="29040" windowHeight="15720" activeTab="6" xr2:uid="{80FB6A6E-4815-48DC-A8C5-309DA8648198}"/>
  </bookViews>
  <sheets>
    <sheet name="X" sheetId="1" r:id="rId1"/>
    <sheet name="Y" sheetId="2" r:id="rId2"/>
    <sheet name="XY" sheetId="3" r:id="rId3"/>
    <sheet name="W" sheetId="4" r:id="rId4"/>
    <sheet name="XYW" sheetId="5" r:id="rId5"/>
    <sheet name="RC Calculations" sheetId="6" r:id="rId6"/>
    <sheet name="Ripple Phase" sheetId="7" r:id="rId7"/>
  </sheets>
  <definedNames>
    <definedName name="_xlnm._FilterDatabase" localSheetId="3" hidden="1">W!$A$4:$A$10</definedName>
    <definedName name="_xlnm._FilterDatabase" localSheetId="0" hidden="1">X!$A$4:$A$10</definedName>
    <definedName name="_xlnm._FilterDatabase" localSheetId="2" hidden="1">XY!$A$4:$A$10</definedName>
    <definedName name="_xlnm._FilterDatabase" localSheetId="4" hidden="1">XYW!$A$4:$A$10</definedName>
    <definedName name="_xlnm._FilterDatabase" localSheetId="1" hidden="1">Y!$A$4:$A$10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7" l="1"/>
  <c r="H4" i="7" s="1"/>
  <c r="G14" i="6"/>
  <c r="G13" i="6"/>
  <c r="G9" i="6"/>
  <c r="B17" i="6"/>
  <c r="G6" i="6"/>
  <c r="G10" i="6" s="1"/>
  <c r="G11" i="6" s="1"/>
  <c r="G12" i="6" s="1"/>
  <c r="G5" i="6"/>
  <c r="G7" i="6" s="1"/>
  <c r="G8" i="6" s="1"/>
  <c r="B16" i="6"/>
  <c r="B14" i="6"/>
  <c r="B15" i="6"/>
  <c r="B12" i="6"/>
  <c r="B11" i="6"/>
  <c r="B10" i="6"/>
  <c r="B9" i="6"/>
  <c r="B4" i="6"/>
  <c r="B3" i="6"/>
  <c r="H9" i="7" l="1"/>
  <c r="H8" i="7"/>
  <c r="H7" i="7"/>
  <c r="H6" i="7"/>
  <c r="H5" i="7"/>
</calcChain>
</file>

<file path=xl/sharedStrings.xml><?xml version="1.0" encoding="utf-8"?>
<sst xmlns="http://schemas.openxmlformats.org/spreadsheetml/2006/main" count="171" uniqueCount="71">
  <si>
    <t>Leg</t>
  </si>
  <si>
    <t>St_x</t>
  </si>
  <si>
    <t>St_y</t>
  </si>
  <si>
    <t>St_z</t>
  </si>
  <si>
    <t>Sw_x</t>
  </si>
  <si>
    <t>Sw_y</t>
  </si>
  <si>
    <t>Sw_z</t>
  </si>
  <si>
    <t>Lf_x</t>
  </si>
  <si>
    <t>Lf_y</t>
  </si>
  <si>
    <t>Lf_z</t>
  </si>
  <si>
    <t>Vx:</t>
  </si>
  <si>
    <t>Vy:</t>
  </si>
  <si>
    <t>Vm:</t>
  </si>
  <si>
    <t>Wz:</t>
  </si>
  <si>
    <t>Constants</t>
  </si>
  <si>
    <t>Quantity</t>
  </si>
  <si>
    <t>Value</t>
  </si>
  <si>
    <t xml:space="preserve">Unit </t>
  </si>
  <si>
    <t>Comment</t>
  </si>
  <si>
    <t>PI/6</t>
  </si>
  <si>
    <t>PI/3</t>
  </si>
  <si>
    <t>rad</t>
  </si>
  <si>
    <t>Calculations</t>
  </si>
  <si>
    <t>ADC MAX</t>
  </si>
  <si>
    <t>X ADC Max</t>
  </si>
  <si>
    <t>Y ADC Max</t>
  </si>
  <si>
    <t>V mag min</t>
  </si>
  <si>
    <t>V mag max</t>
  </si>
  <si>
    <t>X ADC Mid</t>
  </si>
  <si>
    <t>Y ADC Mid</t>
  </si>
  <si>
    <t>ADC MIN</t>
  </si>
  <si>
    <t>bits</t>
  </si>
  <si>
    <t>mm/s</t>
  </si>
  <si>
    <t>ADC X</t>
  </si>
  <si>
    <t>ADC Y</t>
  </si>
  <si>
    <t>V map</t>
  </si>
  <si>
    <t>V adc</t>
  </si>
  <si>
    <t>ADC XC</t>
  </si>
  <si>
    <t>ADC YC</t>
  </si>
  <si>
    <t>X ADC Min</t>
  </si>
  <si>
    <t>Y ADC Min</t>
  </si>
  <si>
    <t>Center Shift</t>
  </si>
  <si>
    <t>X ADC MaxS</t>
  </si>
  <si>
    <t>X ADC MinS</t>
  </si>
  <si>
    <t>Y ADC MaxS</t>
  </si>
  <si>
    <t>Y ADC MinS</t>
  </si>
  <si>
    <t>V adc Max</t>
  </si>
  <si>
    <t>V adc Min</t>
  </si>
  <si>
    <t>Theta T1</t>
  </si>
  <si>
    <t>Theta T2</t>
  </si>
  <si>
    <t>Quantized</t>
  </si>
  <si>
    <t>Theta T2D</t>
  </si>
  <si>
    <t>deg</t>
  </si>
  <si>
    <t>vx</t>
  </si>
  <si>
    <t>vy</t>
  </si>
  <si>
    <t>along robot +X</t>
  </si>
  <si>
    <t>along robot +Y</t>
  </si>
  <si>
    <t>V clamp</t>
  </si>
  <si>
    <t>test</t>
  </si>
  <si>
    <t>RC</t>
  </si>
  <si>
    <t>Leg 0</t>
  </si>
  <si>
    <t>Leg 1</t>
  </si>
  <si>
    <t>Leg 2</t>
  </si>
  <si>
    <t>Leg 3</t>
  </si>
  <si>
    <t>Leg 4</t>
  </si>
  <si>
    <t>Leg 5</t>
  </si>
  <si>
    <t>s</t>
  </si>
  <si>
    <t>Cycle Const</t>
  </si>
  <si>
    <t>s_total</t>
  </si>
  <si>
    <t>i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</si>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</sst>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X!$B$5:$B$10</c:f>
              <c:numCache>
                <c:formatCode>General</c:formatCode>
                <c:ptCount val="6"/>
                <c:pt idx="0">
                  <c:v>182.41</c:v>
                </c:pt>
                <c:pt idx="1">
                  <c:v>-52.5</c:v>
                </c:pt>
                <c:pt idx="2">
                  <c:v>-287.41000000000003</c:v>
                </c:pt>
                <c:pt idx="3">
                  <c:v>-287.41000000000003</c:v>
                </c:pt>
                <c:pt idx="4">
                  <c:v>-52.5</c:v>
                </c:pt>
                <c:pt idx="5">
                  <c:v>182.41</c:v>
                </c:pt>
              </c:numCache>
            </c:numRef>
          </c:xVal>
          <c:yVal>
            <c:numRef>
              <c:f>X!$C$5:$C$10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F-4026-85A8-D1FF208B8244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X!$E$5:$E$10</c:f>
              <c:numCache>
                <c:formatCode>General</c:formatCode>
                <c:ptCount val="6"/>
                <c:pt idx="0">
                  <c:v>287.41000000000003</c:v>
                </c:pt>
                <c:pt idx="1">
                  <c:v>52.5</c:v>
                </c:pt>
                <c:pt idx="2">
                  <c:v>-182.41</c:v>
                </c:pt>
                <c:pt idx="3">
                  <c:v>-182.41</c:v>
                </c:pt>
                <c:pt idx="4">
                  <c:v>52.5</c:v>
                </c:pt>
                <c:pt idx="5">
                  <c:v>287.41000000000003</c:v>
                </c:pt>
              </c:numCache>
            </c:numRef>
          </c:xVal>
          <c:yVal>
            <c:numRef>
              <c:f>X!$F$5:$F$10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0F-4026-85A8-D1FF208B8244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0F-4026-85A8-D1FF208B8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Y!$B$5:$B$10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Y!$C$5:$C$10</c:f>
              <c:numCache>
                <c:formatCode>General</c:formatCode>
                <c:ptCount val="6"/>
                <c:pt idx="0">
                  <c:v>116.88</c:v>
                </c:pt>
                <c:pt idx="1">
                  <c:v>252.51</c:v>
                </c:pt>
                <c:pt idx="2">
                  <c:v>116.88</c:v>
                </c:pt>
                <c:pt idx="3">
                  <c:v>-154.38</c:v>
                </c:pt>
                <c:pt idx="4">
                  <c:v>-290.01</c:v>
                </c:pt>
                <c:pt idx="5">
                  <c:v>-154.38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BF-B2AC-C88139B44B8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Y!$E$5:$E$10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Y!$F$5:$F$10</c:f>
              <c:numCache>
                <c:formatCode>General</c:formatCode>
                <c:ptCount val="6"/>
                <c:pt idx="0">
                  <c:v>154.38</c:v>
                </c:pt>
                <c:pt idx="1">
                  <c:v>290.01</c:v>
                </c:pt>
                <c:pt idx="2">
                  <c:v>154.38</c:v>
                </c:pt>
                <c:pt idx="3">
                  <c:v>-116.88</c:v>
                </c:pt>
                <c:pt idx="4">
                  <c:v>-252.51</c:v>
                </c:pt>
                <c:pt idx="5">
                  <c:v>-116.88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A8-46BF-B2AC-C88139B44B8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A8-46BF-B2AC-C88139B44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XY!$B$5:$B$10</c:f>
              <c:numCache>
                <c:formatCode>General</c:formatCode>
                <c:ptCount val="6"/>
                <c:pt idx="0">
                  <c:v>208.66</c:v>
                </c:pt>
                <c:pt idx="1">
                  <c:v>-26.25</c:v>
                </c:pt>
                <c:pt idx="2">
                  <c:v>-261.16000000000003</c:v>
                </c:pt>
                <c:pt idx="3">
                  <c:v>-261.16000000000003</c:v>
                </c:pt>
                <c:pt idx="4">
                  <c:v>-26.25</c:v>
                </c:pt>
                <c:pt idx="5">
                  <c:v>208.66</c:v>
                </c:pt>
              </c:numCache>
            </c:numRef>
          </c:xVal>
          <c:yVal>
            <c:numRef>
              <c:f>XY!$C$5:$C$10</c:f>
              <c:numCache>
                <c:formatCode>General</c:formatCode>
                <c:ptCount val="6"/>
                <c:pt idx="0">
                  <c:v>109.38</c:v>
                </c:pt>
                <c:pt idx="1">
                  <c:v>245.01</c:v>
                </c:pt>
                <c:pt idx="2">
                  <c:v>109.38</c:v>
                </c:pt>
                <c:pt idx="3">
                  <c:v>-161.88</c:v>
                </c:pt>
                <c:pt idx="4">
                  <c:v>-297.51</c:v>
                </c:pt>
                <c:pt idx="5">
                  <c:v>-161.88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C-4D7D-934F-07F608CA0A5F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XY!$E$5:$E$10</c:f>
              <c:numCache>
                <c:formatCode>General</c:formatCode>
                <c:ptCount val="6"/>
                <c:pt idx="0">
                  <c:v>261.16000000000003</c:v>
                </c:pt>
                <c:pt idx="1">
                  <c:v>26.25</c:v>
                </c:pt>
                <c:pt idx="2">
                  <c:v>-208.66</c:v>
                </c:pt>
                <c:pt idx="3">
                  <c:v>-208.66</c:v>
                </c:pt>
                <c:pt idx="4">
                  <c:v>26.25</c:v>
                </c:pt>
                <c:pt idx="5">
                  <c:v>261.16000000000003</c:v>
                </c:pt>
              </c:numCache>
            </c:numRef>
          </c:xVal>
          <c:yVal>
            <c:numRef>
              <c:f>XY!$F$5:$F$10</c:f>
              <c:numCache>
                <c:formatCode>General</c:formatCode>
                <c:ptCount val="6"/>
                <c:pt idx="0">
                  <c:v>161.88</c:v>
                </c:pt>
                <c:pt idx="1">
                  <c:v>297.51</c:v>
                </c:pt>
                <c:pt idx="2">
                  <c:v>161.88</c:v>
                </c:pt>
                <c:pt idx="3">
                  <c:v>-109.38</c:v>
                </c:pt>
                <c:pt idx="4">
                  <c:v>-245.01</c:v>
                </c:pt>
                <c:pt idx="5">
                  <c:v>-109.38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FC-4D7D-934F-07F608CA0A5F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FC-4D7D-934F-07F608CA0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W!$B$5:$B$10</c:f>
              <c:numCache>
                <c:formatCode>General</c:formatCode>
                <c:ptCount val="6"/>
                <c:pt idx="0">
                  <c:v>247.63</c:v>
                </c:pt>
                <c:pt idx="1">
                  <c:v>25.43</c:v>
                </c:pt>
                <c:pt idx="2">
                  <c:v>-222.2</c:v>
                </c:pt>
                <c:pt idx="3">
                  <c:v>-247.63</c:v>
                </c:pt>
                <c:pt idx="4">
                  <c:v>-25.43</c:v>
                </c:pt>
                <c:pt idx="5">
                  <c:v>222.2</c:v>
                </c:pt>
              </c:numCache>
            </c:numRef>
          </c:xVal>
          <c:yVal>
            <c:numRef>
              <c:f>W!$C$5:$C$10</c:f>
              <c:numCache>
                <c:formatCode>General</c:formatCode>
                <c:ptCount val="6"/>
                <c:pt idx="0">
                  <c:v>113.6</c:v>
                </c:pt>
                <c:pt idx="1">
                  <c:v>271.26</c:v>
                </c:pt>
                <c:pt idx="2">
                  <c:v>157.65</c:v>
                </c:pt>
                <c:pt idx="3">
                  <c:v>-113.6</c:v>
                </c:pt>
                <c:pt idx="4">
                  <c:v>-271.26</c:v>
                </c:pt>
                <c:pt idx="5">
                  <c:v>-157.65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D-45F2-9204-9E8D1E164920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W!$E$5:$E$10</c:f>
              <c:numCache>
                <c:formatCode>General</c:formatCode>
                <c:ptCount val="6"/>
                <c:pt idx="0">
                  <c:v>222.2</c:v>
                </c:pt>
                <c:pt idx="1">
                  <c:v>-25.43</c:v>
                </c:pt>
                <c:pt idx="2">
                  <c:v>-247.63</c:v>
                </c:pt>
                <c:pt idx="3">
                  <c:v>-222.2</c:v>
                </c:pt>
                <c:pt idx="4">
                  <c:v>25.43</c:v>
                </c:pt>
                <c:pt idx="5">
                  <c:v>247.63</c:v>
                </c:pt>
              </c:numCache>
            </c:numRef>
          </c:xVal>
          <c:yVal>
            <c:numRef>
              <c:f>W!$F$5:$F$10</c:f>
              <c:numCache>
                <c:formatCode>General</c:formatCode>
                <c:ptCount val="6"/>
                <c:pt idx="0">
                  <c:v>157.65</c:v>
                </c:pt>
                <c:pt idx="1">
                  <c:v>271.26</c:v>
                </c:pt>
                <c:pt idx="2">
                  <c:v>113.6</c:v>
                </c:pt>
                <c:pt idx="3">
                  <c:v>-157.65</c:v>
                </c:pt>
                <c:pt idx="4">
                  <c:v>-271.26</c:v>
                </c:pt>
                <c:pt idx="5">
                  <c:v>-113.6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BD-45F2-9204-9E8D1E164920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BD-45F2-9204-9E8D1E16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XYW!$B$5:$B$10</c:f>
              <c:numCache>
                <c:formatCode>General</c:formatCode>
                <c:ptCount val="6"/>
                <c:pt idx="0">
                  <c:v>236.25</c:v>
                </c:pt>
                <c:pt idx="1">
                  <c:v>6.42</c:v>
                </c:pt>
                <c:pt idx="2">
                  <c:v>-233.58</c:v>
                </c:pt>
                <c:pt idx="3">
                  <c:v>-243.75</c:v>
                </c:pt>
                <c:pt idx="4">
                  <c:v>-13.92</c:v>
                </c:pt>
                <c:pt idx="5">
                  <c:v>226.08</c:v>
                </c:pt>
              </c:numCache>
            </c:numRef>
          </c:xVal>
          <c:yVal>
            <c:numRef>
              <c:f>XYW!$C$5:$C$10</c:f>
              <c:numCache>
                <c:formatCode>General</c:formatCode>
                <c:ptCount val="6"/>
                <c:pt idx="0">
                  <c:v>123.07</c:v>
                </c:pt>
                <c:pt idx="1">
                  <c:v>267.51</c:v>
                </c:pt>
                <c:pt idx="2">
                  <c:v>140.69</c:v>
                </c:pt>
                <c:pt idx="3">
                  <c:v>-130.57</c:v>
                </c:pt>
                <c:pt idx="4">
                  <c:v>-275.01</c:v>
                </c:pt>
                <c:pt idx="5">
                  <c:v>-148.19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9-4F64-9095-30C126BF299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XYW!$E$5:$E$10</c:f>
              <c:numCache>
                <c:formatCode>General</c:formatCode>
                <c:ptCount val="6"/>
                <c:pt idx="0">
                  <c:v>233.58</c:v>
                </c:pt>
                <c:pt idx="1">
                  <c:v>-6.42</c:v>
                </c:pt>
                <c:pt idx="2">
                  <c:v>-236.25</c:v>
                </c:pt>
                <c:pt idx="3">
                  <c:v>-226.08</c:v>
                </c:pt>
                <c:pt idx="4">
                  <c:v>13.92</c:v>
                </c:pt>
                <c:pt idx="5">
                  <c:v>243.75</c:v>
                </c:pt>
              </c:numCache>
            </c:numRef>
          </c:xVal>
          <c:yVal>
            <c:numRef>
              <c:f>XYW!$F$5:$F$10</c:f>
              <c:numCache>
                <c:formatCode>General</c:formatCode>
                <c:ptCount val="6"/>
                <c:pt idx="0">
                  <c:v>148.19</c:v>
                </c:pt>
                <c:pt idx="1">
                  <c:v>275.01</c:v>
                </c:pt>
                <c:pt idx="2">
                  <c:v>130.57</c:v>
                </c:pt>
                <c:pt idx="3">
                  <c:v>-140.69</c:v>
                </c:pt>
                <c:pt idx="4">
                  <c:v>-267.51</c:v>
                </c:pt>
                <c:pt idx="5">
                  <c:v>-123.07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69-4F64-9095-30C126BF299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69-4F64-9095-30C126BF2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EAC38B-14B8-C640-F9D1-C30988CD1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4372DE-435B-434C-9286-6166DF0C1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D6BF6F-E380-408F-9421-4F8F78A0D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3ED0DC-0A8D-4EAC-893A-3B9C35AF5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A592F8-FD65-4ABC-936D-2B7D60BBEE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E928-1AFB-4FD0-9234-9A0A25EB1FB5}">
  <dimension ref="A1:J10"/>
  <sheetViews>
    <sheetView workbookViewId="0">
      <selection activeCell="P32" sqref="P3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140</v>
      </c>
      <c r="B2">
        <v>0</v>
      </c>
      <c r="C2">
        <v>140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182.41</v>
      </c>
      <c r="C5">
        <v>135.63</v>
      </c>
      <c r="D5">
        <v>-63.63</v>
      </c>
      <c r="E5">
        <v>287.41000000000003</v>
      </c>
      <c r="F5">
        <v>135.63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-52.5</v>
      </c>
      <c r="C6">
        <v>271.26</v>
      </c>
      <c r="D6">
        <v>-63.63</v>
      </c>
      <c r="E6">
        <v>52.5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-287.41000000000003</v>
      </c>
      <c r="C7">
        <v>135.63</v>
      </c>
      <c r="D7">
        <v>-63.63</v>
      </c>
      <c r="E7">
        <v>-182.41</v>
      </c>
      <c r="F7">
        <v>135.63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-287.41000000000003</v>
      </c>
      <c r="C8">
        <v>-135.63</v>
      </c>
      <c r="D8">
        <v>-63.63</v>
      </c>
      <c r="E8">
        <v>-182.41</v>
      </c>
      <c r="F8">
        <v>-135.63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-52.5</v>
      </c>
      <c r="C9">
        <v>-271.26</v>
      </c>
      <c r="D9">
        <v>-63.63</v>
      </c>
      <c r="E9">
        <v>52.5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182.41</v>
      </c>
      <c r="C10">
        <v>-135.63</v>
      </c>
      <c r="D10">
        <v>-63.63</v>
      </c>
      <c r="E10">
        <v>287.41000000000003</v>
      </c>
      <c r="F10">
        <v>-135.63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31D4-04A4-4FF3-BF80-2BE78F95CA60}">
  <dimension ref="A1:J10"/>
  <sheetViews>
    <sheetView workbookViewId="0">
      <selection activeCell="Q22" sqref="Q2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50</v>
      </c>
      <c r="C2">
        <v>50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234.91</v>
      </c>
      <c r="C5">
        <v>116.88</v>
      </c>
      <c r="D5">
        <v>-63.63</v>
      </c>
      <c r="E5">
        <v>234.91</v>
      </c>
      <c r="F5">
        <v>154.38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0</v>
      </c>
      <c r="C6">
        <v>252.51</v>
      </c>
      <c r="D6">
        <v>-63.63</v>
      </c>
      <c r="E6">
        <v>0</v>
      </c>
      <c r="F6">
        <v>290.01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-234.91</v>
      </c>
      <c r="C7">
        <v>116.88</v>
      </c>
      <c r="D7">
        <v>-63.63</v>
      </c>
      <c r="E7">
        <v>-234.91</v>
      </c>
      <c r="F7">
        <v>154.38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-234.91</v>
      </c>
      <c r="C8">
        <v>-154.38</v>
      </c>
      <c r="D8">
        <v>-63.63</v>
      </c>
      <c r="E8">
        <v>-234.91</v>
      </c>
      <c r="F8">
        <v>-116.88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0</v>
      </c>
      <c r="C9">
        <v>-290.01</v>
      </c>
      <c r="D9">
        <v>-63.63</v>
      </c>
      <c r="E9">
        <v>0</v>
      </c>
      <c r="F9">
        <v>-252.51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234.91</v>
      </c>
      <c r="C10">
        <v>-154.38</v>
      </c>
      <c r="D10">
        <v>-63.63</v>
      </c>
      <c r="E10">
        <v>234.91</v>
      </c>
      <c r="F10">
        <v>-116.88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C07D-3936-4796-AFC6-66879CDE30D8}">
  <dimension ref="A1:J10"/>
  <sheetViews>
    <sheetView workbookViewId="0">
      <selection activeCell="A4" sqref="A4:A10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70</v>
      </c>
      <c r="B2">
        <v>70</v>
      </c>
      <c r="C2">
        <v>98.99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208.66</v>
      </c>
      <c r="C5">
        <v>109.38</v>
      </c>
      <c r="D5">
        <v>-63.63</v>
      </c>
      <c r="E5">
        <v>261.16000000000003</v>
      </c>
      <c r="F5">
        <v>161.88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-26.25</v>
      </c>
      <c r="C6">
        <v>245.01</v>
      </c>
      <c r="D6">
        <v>-63.63</v>
      </c>
      <c r="E6">
        <v>26.25</v>
      </c>
      <c r="F6">
        <v>297.51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-261.16000000000003</v>
      </c>
      <c r="C7">
        <v>109.38</v>
      </c>
      <c r="D7">
        <v>-63.63</v>
      </c>
      <c r="E7">
        <v>-208.66</v>
      </c>
      <c r="F7">
        <v>161.88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-261.16000000000003</v>
      </c>
      <c r="C8">
        <v>-161.88</v>
      </c>
      <c r="D8">
        <v>-63.63</v>
      </c>
      <c r="E8">
        <v>-208.66</v>
      </c>
      <c r="F8">
        <v>-109.38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-26.25</v>
      </c>
      <c r="C9">
        <v>-297.51</v>
      </c>
      <c r="D9">
        <v>-63.63</v>
      </c>
      <c r="E9">
        <v>26.25</v>
      </c>
      <c r="F9">
        <v>-245.01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208.66</v>
      </c>
      <c r="C10">
        <v>-161.88</v>
      </c>
      <c r="D10">
        <v>-63.63</v>
      </c>
      <c r="E10">
        <v>261.16000000000003</v>
      </c>
      <c r="F10">
        <v>-109.38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06E60-2C92-4E37-B662-D65BDC95D41A}">
  <dimension ref="A1:J10"/>
  <sheetViews>
    <sheetView workbookViewId="0">
      <selection activeCell="N9" sqref="N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0</v>
      </c>
      <c r="C2">
        <v>0</v>
      </c>
      <c r="D2">
        <v>0.25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247.63</v>
      </c>
      <c r="C5">
        <v>113.6</v>
      </c>
      <c r="D5">
        <v>-63.63</v>
      </c>
      <c r="E5">
        <v>222.2</v>
      </c>
      <c r="F5">
        <v>157.65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25.43</v>
      </c>
      <c r="C6">
        <v>271.26</v>
      </c>
      <c r="D6">
        <v>-63.63</v>
      </c>
      <c r="E6">
        <v>-25.43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-222.2</v>
      </c>
      <c r="C7">
        <v>157.65</v>
      </c>
      <c r="D7">
        <v>-63.63</v>
      </c>
      <c r="E7">
        <v>-247.63</v>
      </c>
      <c r="F7">
        <v>113.6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-247.63</v>
      </c>
      <c r="C8">
        <v>-113.6</v>
      </c>
      <c r="D8">
        <v>-63.63</v>
      </c>
      <c r="E8">
        <v>-222.2</v>
      </c>
      <c r="F8">
        <v>-157.65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-25.43</v>
      </c>
      <c r="C9">
        <v>-271.26</v>
      </c>
      <c r="D9">
        <v>-63.63</v>
      </c>
      <c r="E9">
        <v>25.43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222.2</v>
      </c>
      <c r="C10">
        <v>-157.65</v>
      </c>
      <c r="D10">
        <v>-63.63</v>
      </c>
      <c r="E10">
        <v>247.63</v>
      </c>
      <c r="F10">
        <v>-113.6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43BA2-DD69-45E4-B428-8B806A230E52}">
  <dimension ref="A1:J10"/>
  <sheetViews>
    <sheetView workbookViewId="0">
      <selection activeCell="P9" sqref="P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10</v>
      </c>
      <c r="B2">
        <v>10</v>
      </c>
      <c r="C2">
        <v>14.14</v>
      </c>
      <c r="D2">
        <v>0.1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236.25</v>
      </c>
      <c r="C5">
        <v>123.07</v>
      </c>
      <c r="D5">
        <v>-63.63</v>
      </c>
      <c r="E5">
        <v>233.58</v>
      </c>
      <c r="F5">
        <v>148.19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6.42</v>
      </c>
      <c r="C6">
        <v>267.51</v>
      </c>
      <c r="D6">
        <v>-63.63</v>
      </c>
      <c r="E6">
        <v>-6.42</v>
      </c>
      <c r="F6">
        <v>275.01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-233.58</v>
      </c>
      <c r="C7">
        <v>140.69</v>
      </c>
      <c r="D7">
        <v>-63.63</v>
      </c>
      <c r="E7">
        <v>-236.25</v>
      </c>
      <c r="F7">
        <v>130.57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-243.75</v>
      </c>
      <c r="C8">
        <v>-130.57</v>
      </c>
      <c r="D8">
        <v>-63.63</v>
      </c>
      <c r="E8">
        <v>-226.08</v>
      </c>
      <c r="F8">
        <v>-140.69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-13.92</v>
      </c>
      <c r="C9">
        <v>-275.01</v>
      </c>
      <c r="D9">
        <v>-63.63</v>
      </c>
      <c r="E9">
        <v>13.92</v>
      </c>
      <c r="F9">
        <v>-267.51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226.08</v>
      </c>
      <c r="C10">
        <v>-148.19</v>
      </c>
      <c r="D10">
        <v>-63.63</v>
      </c>
      <c r="E10">
        <v>243.75</v>
      </c>
      <c r="F10">
        <v>-123.07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AA44-A3C8-43E7-96F1-C4D35D29F60B}">
  <dimension ref="A1:I21"/>
  <sheetViews>
    <sheetView workbookViewId="0">
      <selection activeCell="I19" sqref="I19"/>
    </sheetView>
  </sheetViews>
  <sheetFormatPr defaultRowHeight="15" x14ac:dyDescent="0.25"/>
  <cols>
    <col min="1" max="1" width="12.140625" customWidth="1"/>
    <col min="4" max="4" width="12.5703125" customWidth="1"/>
    <col min="9" max="9" width="17.42578125" customWidth="1"/>
  </cols>
  <sheetData>
    <row r="1" spans="1:9" ht="15.75" thickBot="1" x14ac:dyDescent="0.3">
      <c r="A1" s="4" t="s">
        <v>14</v>
      </c>
      <c r="B1" s="5"/>
      <c r="C1" s="5"/>
      <c r="D1" s="6"/>
      <c r="F1" s="4" t="s">
        <v>22</v>
      </c>
      <c r="G1" s="5"/>
      <c r="H1" s="5"/>
      <c r="I1" s="6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19</v>
      </c>
      <c r="B3" s="2">
        <f>PI()/6</f>
        <v>0.52359877559829882</v>
      </c>
      <c r="C3" s="2" t="s">
        <v>21</v>
      </c>
      <c r="D3" s="2"/>
      <c r="F3" s="2" t="s">
        <v>33</v>
      </c>
      <c r="G3" s="2">
        <v>4095</v>
      </c>
      <c r="H3" s="2" t="s">
        <v>31</v>
      </c>
      <c r="I3" s="2"/>
    </row>
    <row r="4" spans="1:9" x14ac:dyDescent="0.25">
      <c r="A4" s="2" t="s">
        <v>20</v>
      </c>
      <c r="B4" s="2">
        <f>PI()/3</f>
        <v>1.0471975511965976</v>
      </c>
      <c r="C4" s="2" t="s">
        <v>21</v>
      </c>
      <c r="D4" s="2"/>
      <c r="F4" s="2" t="s">
        <v>34</v>
      </c>
      <c r="G4" s="2">
        <v>3000</v>
      </c>
      <c r="H4" s="2" t="s">
        <v>31</v>
      </c>
      <c r="I4" s="2"/>
    </row>
    <row r="5" spans="1:9" x14ac:dyDescent="0.25">
      <c r="A5" s="2" t="s">
        <v>23</v>
      </c>
      <c r="B5" s="2">
        <v>4095</v>
      </c>
      <c r="C5" s="2" t="s">
        <v>31</v>
      </c>
      <c r="D5" s="2"/>
      <c r="F5" s="2" t="s">
        <v>37</v>
      </c>
      <c r="G5" s="2">
        <f>G3-B14</f>
        <v>2048</v>
      </c>
      <c r="H5" s="2" t="s">
        <v>31</v>
      </c>
      <c r="I5" s="2"/>
    </row>
    <row r="6" spans="1:9" x14ac:dyDescent="0.25">
      <c r="A6" s="2" t="s">
        <v>30</v>
      </c>
      <c r="B6" s="2">
        <v>0</v>
      </c>
      <c r="C6" s="2" t="s">
        <v>31</v>
      </c>
      <c r="D6" s="2"/>
      <c r="F6" s="2" t="s">
        <v>38</v>
      </c>
      <c r="G6" s="2">
        <f>G4-B16</f>
        <v>953</v>
      </c>
      <c r="H6" s="2" t="s">
        <v>31</v>
      </c>
      <c r="I6" s="2"/>
    </row>
    <row r="7" spans="1:9" x14ac:dyDescent="0.25">
      <c r="A7" s="2" t="s">
        <v>28</v>
      </c>
      <c r="B7" s="2">
        <v>1958</v>
      </c>
      <c r="C7" s="2" t="s">
        <v>31</v>
      </c>
      <c r="D7" s="2"/>
      <c r="F7" s="2" t="s">
        <v>36</v>
      </c>
      <c r="G7" s="2">
        <f>SQRT(G5*G5+G6*G6)</f>
        <v>2258.8742771566549</v>
      </c>
      <c r="H7" s="2" t="s">
        <v>31</v>
      </c>
      <c r="I7" s="2"/>
    </row>
    <row r="8" spans="1:9" x14ac:dyDescent="0.25">
      <c r="A8" s="2" t="s">
        <v>29</v>
      </c>
      <c r="B8" s="2">
        <v>1958</v>
      </c>
      <c r="C8" s="2" t="s">
        <v>31</v>
      </c>
      <c r="D8" s="2"/>
      <c r="F8" s="2" t="s">
        <v>35</v>
      </c>
      <c r="G8" s="2">
        <f>(G7)*((B21-B20)/(B18-B19))+B20</f>
        <v>154.41523379000571</v>
      </c>
      <c r="H8" s="2" t="s">
        <v>32</v>
      </c>
      <c r="I8" s="2"/>
    </row>
    <row r="9" spans="1:9" x14ac:dyDescent="0.25">
      <c r="A9" s="2" t="s">
        <v>24</v>
      </c>
      <c r="B9" s="2">
        <f>B5-B7</f>
        <v>2137</v>
      </c>
      <c r="C9" s="2" t="s">
        <v>31</v>
      </c>
      <c r="D9" s="2"/>
      <c r="F9" s="2" t="s">
        <v>57</v>
      </c>
      <c r="G9" s="2">
        <f>IF(G8&gt;B21, B21,G8)</f>
        <v>140</v>
      </c>
      <c r="H9" s="2" t="s">
        <v>32</v>
      </c>
      <c r="I9" s="2"/>
    </row>
    <row r="10" spans="1:9" x14ac:dyDescent="0.25">
      <c r="A10" s="2" t="s">
        <v>25</v>
      </c>
      <c r="B10" s="2">
        <f>B5-B8</f>
        <v>2137</v>
      </c>
      <c r="C10" s="2" t="s">
        <v>31</v>
      </c>
      <c r="D10" s="2"/>
      <c r="F10" s="2" t="s">
        <v>48</v>
      </c>
      <c r="G10" s="2">
        <f>ATAN2(G5,G6)</f>
        <v>0.43553063969993661</v>
      </c>
      <c r="H10" s="2" t="s">
        <v>21</v>
      </c>
      <c r="I10" s="2"/>
    </row>
    <row r="11" spans="1:9" x14ac:dyDescent="0.25">
      <c r="A11" s="2" t="s">
        <v>39</v>
      </c>
      <c r="B11" s="2">
        <f>B6-B7</f>
        <v>-1958</v>
      </c>
      <c r="C11" s="2" t="s">
        <v>31</v>
      </c>
      <c r="D11" s="2"/>
      <c r="F11" s="2" t="s">
        <v>49</v>
      </c>
      <c r="G11" s="2">
        <f>B4*ROUND(G10/B4, 0)</f>
        <v>0</v>
      </c>
      <c r="H11" s="2" t="s">
        <v>21</v>
      </c>
      <c r="I11" s="2" t="s">
        <v>50</v>
      </c>
    </row>
    <row r="12" spans="1:9" x14ac:dyDescent="0.25">
      <c r="A12" s="2" t="s">
        <v>40</v>
      </c>
      <c r="B12" s="2">
        <f>B6-B8</f>
        <v>-1958</v>
      </c>
      <c r="C12" s="2" t="s">
        <v>31</v>
      </c>
      <c r="D12" s="2" t="s">
        <v>58</v>
      </c>
      <c r="F12" s="2" t="s">
        <v>51</v>
      </c>
      <c r="G12" s="2">
        <f>DEGREES(G11)</f>
        <v>0</v>
      </c>
      <c r="H12" s="2" t="s">
        <v>52</v>
      </c>
      <c r="I12" s="2"/>
    </row>
    <row r="13" spans="1:9" x14ac:dyDescent="0.25">
      <c r="A13" s="2" t="s">
        <v>41</v>
      </c>
      <c r="B13" s="2">
        <v>90</v>
      </c>
      <c r="C13" s="2" t="s">
        <v>31</v>
      </c>
      <c r="D13" s="2"/>
      <c r="F13" s="2" t="s">
        <v>53</v>
      </c>
      <c r="G13" s="2">
        <f>G9*COS(G11)</f>
        <v>140</v>
      </c>
      <c r="H13" s="2" t="s">
        <v>32</v>
      </c>
      <c r="I13" s="2" t="s">
        <v>55</v>
      </c>
    </row>
    <row r="14" spans="1:9" x14ac:dyDescent="0.25">
      <c r="A14" s="2" t="s">
        <v>42</v>
      </c>
      <c r="B14" s="2">
        <f>B9-B13</f>
        <v>2047</v>
      </c>
      <c r="C14" s="2" t="s">
        <v>31</v>
      </c>
      <c r="D14" s="2"/>
      <c r="F14" s="2" t="s">
        <v>54</v>
      </c>
      <c r="G14" s="2">
        <f>G9*SIN(G11)</f>
        <v>0</v>
      </c>
      <c r="H14" s="2" t="s">
        <v>32</v>
      </c>
      <c r="I14" s="2" t="s">
        <v>56</v>
      </c>
    </row>
    <row r="15" spans="1:9" x14ac:dyDescent="0.25">
      <c r="A15" s="2" t="s">
        <v>43</v>
      </c>
      <c r="B15" s="2">
        <f>B11-B13</f>
        <v>-2048</v>
      </c>
      <c r="C15" s="2" t="s">
        <v>31</v>
      </c>
      <c r="D15" s="2"/>
    </row>
    <row r="16" spans="1:9" x14ac:dyDescent="0.25">
      <c r="A16" s="2" t="s">
        <v>44</v>
      </c>
      <c r="B16" s="2">
        <f>B14</f>
        <v>2047</v>
      </c>
      <c r="C16" s="2" t="s">
        <v>31</v>
      </c>
      <c r="D16" s="2"/>
    </row>
    <row r="17" spans="1:4" x14ac:dyDescent="0.25">
      <c r="A17" s="2" t="s">
        <v>45</v>
      </c>
      <c r="B17" s="2">
        <f>B15</f>
        <v>-2048</v>
      </c>
      <c r="C17" s="2" t="s">
        <v>31</v>
      </c>
      <c r="D17" s="2"/>
    </row>
    <row r="18" spans="1:4" x14ac:dyDescent="0.25">
      <c r="A18" s="2" t="s">
        <v>46</v>
      </c>
      <c r="B18" s="2">
        <v>2048</v>
      </c>
      <c r="C18" s="2" t="s">
        <v>31</v>
      </c>
      <c r="D18" s="2"/>
    </row>
    <row r="19" spans="1:4" x14ac:dyDescent="0.25">
      <c r="A19" s="2" t="s">
        <v>47</v>
      </c>
      <c r="B19" s="2">
        <v>0</v>
      </c>
      <c r="C19" s="2" t="s">
        <v>31</v>
      </c>
      <c r="D19" s="2"/>
    </row>
    <row r="20" spans="1:4" x14ac:dyDescent="0.25">
      <c r="A20" s="2" t="s">
        <v>26</v>
      </c>
      <c r="B20" s="2">
        <v>0</v>
      </c>
      <c r="C20" s="2" t="s">
        <v>32</v>
      </c>
      <c r="D20" s="2"/>
    </row>
    <row r="21" spans="1:4" x14ac:dyDescent="0.25">
      <c r="A21" s="2" t="s">
        <v>27</v>
      </c>
      <c r="B21" s="2">
        <v>140</v>
      </c>
      <c r="C21" s="2" t="s">
        <v>32</v>
      </c>
      <c r="D21" s="2"/>
    </row>
  </sheetData>
  <mergeCells count="2">
    <mergeCell ref="A1:D1"/>
    <mergeCell ref="F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FBAB9-467F-4E05-A5CF-E22C3165A618}">
  <dimension ref="A1:I9"/>
  <sheetViews>
    <sheetView tabSelected="1" workbookViewId="0">
      <selection activeCell="C4" sqref="C4"/>
    </sheetView>
  </sheetViews>
  <sheetFormatPr defaultRowHeight="15" x14ac:dyDescent="0.25"/>
  <cols>
    <col min="1" max="1" width="13.140625" customWidth="1"/>
    <col min="4" max="5" width="12.7109375" customWidth="1"/>
    <col min="9" max="9" width="13" customWidth="1"/>
  </cols>
  <sheetData>
    <row r="1" spans="1:9" ht="15.75" thickBot="1" x14ac:dyDescent="0.3">
      <c r="A1" s="4" t="s">
        <v>14</v>
      </c>
      <c r="B1" s="5"/>
      <c r="C1" s="5"/>
      <c r="D1" s="6"/>
      <c r="E1" s="7"/>
      <c r="F1" s="4" t="s">
        <v>22</v>
      </c>
      <c r="G1" s="5"/>
      <c r="H1" s="5"/>
      <c r="I1" s="6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8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67</v>
      </c>
      <c r="B3" s="2">
        <f>1/6</f>
        <v>0.16666666666666666</v>
      </c>
      <c r="C3" s="2" t="s">
        <v>70</v>
      </c>
      <c r="D3" s="2"/>
      <c r="F3" s="9" t="s">
        <v>0</v>
      </c>
      <c r="G3" s="9" t="s">
        <v>69</v>
      </c>
      <c r="H3" s="9" t="s">
        <v>66</v>
      </c>
      <c r="I3" s="2"/>
    </row>
    <row r="4" spans="1:9" x14ac:dyDescent="0.25">
      <c r="A4" s="2" t="s">
        <v>59</v>
      </c>
      <c r="B4" s="2">
        <v>0</v>
      </c>
      <c r="C4" s="2" t="s">
        <v>70</v>
      </c>
      <c r="D4" s="2"/>
      <c r="F4" s="2" t="s">
        <v>60</v>
      </c>
      <c r="G4" s="2">
        <v>0</v>
      </c>
      <c r="H4" s="2">
        <f>$B$5-(ABS(G4-$B$4)*$B$3)</f>
        <v>1</v>
      </c>
      <c r="I4" s="2"/>
    </row>
    <row r="5" spans="1:9" x14ac:dyDescent="0.25">
      <c r="A5" s="2" t="s">
        <v>68</v>
      </c>
      <c r="B5" s="2">
        <v>1</v>
      </c>
      <c r="C5" s="2" t="s">
        <v>70</v>
      </c>
      <c r="D5" s="2"/>
      <c r="F5" s="2" t="s">
        <v>64</v>
      </c>
      <c r="G5" s="2">
        <v>1</v>
      </c>
      <c r="H5" s="2">
        <f>$B$5-(ABS(G5-$B$4)*$B$3)</f>
        <v>0.83333333333333337</v>
      </c>
      <c r="I5" s="2"/>
    </row>
    <row r="6" spans="1:9" x14ac:dyDescent="0.25">
      <c r="F6" s="2" t="s">
        <v>62</v>
      </c>
      <c r="G6" s="2">
        <v>2</v>
      </c>
      <c r="H6" s="2">
        <f>$B$5-(ABS(G6-$B$4)*$B$3)</f>
        <v>0.66666666666666674</v>
      </c>
      <c r="I6" s="2"/>
    </row>
    <row r="7" spans="1:9" x14ac:dyDescent="0.25">
      <c r="F7" s="2" t="s">
        <v>65</v>
      </c>
      <c r="G7" s="2">
        <v>3</v>
      </c>
      <c r="H7" s="2">
        <f>$B$5-(ABS(G7-$B$4)*$B$3)</f>
        <v>0.5</v>
      </c>
      <c r="I7" s="2"/>
    </row>
    <row r="8" spans="1:9" x14ac:dyDescent="0.25">
      <c r="F8" s="2" t="s">
        <v>61</v>
      </c>
      <c r="G8" s="2">
        <v>4</v>
      </c>
      <c r="H8" s="2">
        <f>$B$5-(ABS(G8-$B$4)*$B$3)</f>
        <v>0.33333333333333337</v>
      </c>
      <c r="I8" s="2"/>
    </row>
    <row r="9" spans="1:9" x14ac:dyDescent="0.25">
      <c r="F9" s="2" t="s">
        <v>63</v>
      </c>
      <c r="G9" s="2">
        <v>5</v>
      </c>
      <c r="H9" s="2">
        <f>$B$5-(ABS(G9-$B$4)*$B$3)</f>
        <v>0.16666666666666674</v>
      </c>
      <c r="I9" s="2"/>
    </row>
  </sheetData>
  <mergeCells count="2">
    <mergeCell ref="A1:D1"/>
    <mergeCell ref="F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X</vt:lpstr>
      <vt:lpstr>Y</vt:lpstr>
      <vt:lpstr>XY</vt:lpstr>
      <vt:lpstr>W</vt:lpstr>
      <vt:lpstr>XYW</vt:lpstr>
      <vt:lpstr>RC Calculations</vt:lpstr>
      <vt:lpstr>Ripple Phase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 Vadeboncoeur</dc:creator>
  <cp:lastModifiedBy>Evan  Vadeboncoeur</cp:lastModifiedBy>
  <dcterms:created xsi:type="dcterms:W3CDTF">2026-07-02T17:54:11Z</dcterms:created>
  <dcterms:modified xsi:type="dcterms:W3CDTF">2026-07-16T19:44:55Z</dcterms:modified>
</cp:coreProperties>
</file>